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ME" state="visible" r:id="rId4"/>
    <sheet sheetId="2" name="UNIVERSE_SCREENING" state="visible" r:id="rId5"/>
    <sheet sheetId="3" name="SOURCES" state="visible" r:id="rId6"/>
    <sheet sheetId="4" name="COMPANY_FACTS" state="visible" r:id="rId7"/>
    <sheet sheetId="5" name="DCF_ADBE" state="visible" r:id="rId8"/>
    <sheet sheetId="6" name="DCF_PYPL" state="visible" r:id="rId9"/>
    <sheet sheetId="7" name="DCF_NKE" state="visible" r:id="rId10"/>
    <sheet sheetId="8" name="SENSITIVITY" state="visible" r:id="rId11"/>
    <sheet sheetId="9" name="REVERSE" state="visible" r:id="rId12"/>
    <sheet sheetId="10" name="TECHNICALS" state="visible" r:id="rId13"/>
    <sheet sheetId="11" name="RISKS" state="visible" r:id="rId14"/>
    <sheet sheetId="12" name="PORTFOLIO" state="visible" r:id="rId15"/>
    <sheet sheetId="13" name="CHECKS" state="visible" r:id="rId16"/>
    <sheet sheetId="14" name="SNAPSHOT" state="visible" r:id="rId17"/>
  </sheets>
  <calcPr calcId="171027" fullCalcOnLoad="1"/>
</workbook>
</file>

<file path=xl/sharedStrings.xml><?xml version="1.0" encoding="utf-8"?>
<sst xmlns="http://schemas.openxmlformats.org/spreadsheetml/2006/main" count="2915" uniqueCount="1315">
  <si>
    <t>MIRROR X · PRELIMINARY · MX-3777d2e495a9</t>
  </si>
  <si>
    <t>Статус</t>
  </si>
  <si>
    <t>PRELIMINARY — НЕ ГОТОВО К СДАЧЕ</t>
  </si>
  <si>
    <t>Snapshot</t>
  </si>
  <si>
    <t>MX-3777d2e495a9</t>
  </si>
  <si>
    <t>Срез</t>
  </si>
  <si>
    <t>2026-10-29</t>
  </si>
  <si>
    <t>Правило цен</t>
  </si>
  <si>
    <t>Regular unadjusted close 2026-11-02; сейчас недоступно</t>
  </si>
  <si>
    <t>Единицы</t>
  </si>
  <si>
    <t>USD millions; shares millions; DCF result USD/share</t>
  </si>
  <si>
    <t>Факты</t>
  </si>
  <si>
    <t>Годовые факты из официальных документов; нужна сверка кварталов</t>
  </si>
  <si>
    <t>Допущения</t>
  </si>
  <si>
    <t>Все драйверы в DCF — аналитические предположения, не прогноз эмитента</t>
  </si>
  <si>
    <t>Расчёты</t>
  </si>
  <si>
    <t>Excel formulas + cached results; automatic recalc on open</t>
  </si>
  <si>
    <t>Источники</t>
  </si>
  <si>
    <t>SOURCES / COMPANY_FACTS</t>
  </si>
  <si>
    <t>Ограничение цен</t>
  </si>
  <si>
    <t>Общий набор UNDATED; не используется как текущая цена</t>
  </si>
  <si>
    <t>12m target</t>
  </si>
  <si>
    <t>EV0*(1+WACC)-FCFF1-netDebt, затем / shares; долг/акции фиксированы</t>
  </si>
  <si>
    <t>PayPal</t>
  </si>
  <si>
    <t>BNPL требует нормализации; клиентские средства исключены из cash</t>
  </si>
  <si>
    <t>Риски</t>
  </si>
  <si>
    <t>Не является персональной рекомендацией. Buy не подтверждён.</t>
  </si>
  <si>
    <t>Ticker</t>
  </si>
  <si>
    <t>Company</t>
  </si>
  <si>
    <t>Industry</t>
  </si>
  <si>
    <t>Price UNDATED</t>
  </si>
  <si>
    <t>Market cap USD</t>
  </si>
  <si>
    <t>P/E</t>
  </si>
  <si>
    <t>EBITDA USD</t>
  </si>
  <si>
    <t>Score</t>
  </si>
  <si>
    <t>Status</t>
  </si>
  <si>
    <t>Source</t>
  </si>
  <si>
    <t>MMM</t>
  </si>
  <si>
    <t>3M</t>
  </si>
  <si>
    <t>Industrial Conglomerates</t>
  </si>
  <si>
    <t>UNDATED</t>
  </si>
  <si>
    <t>https://github.com/datasets/s-and-p-500-companies-financials/blob/main/data/constituents-financials.csv</t>
  </si>
  <si>
    <t>AOS</t>
  </si>
  <si>
    <t>A. O. Smith</t>
  </si>
  <si>
    <t>Building Products</t>
  </si>
  <si>
    <t>ABT</t>
  </si>
  <si>
    <t>Abbott Laboratories</t>
  </si>
  <si>
    <t>Health Care Equipment</t>
  </si>
  <si>
    <t>ABBV</t>
  </si>
  <si>
    <t>AbbVie</t>
  </si>
  <si>
    <t>Biotechnology</t>
  </si>
  <si>
    <t>ACN</t>
  </si>
  <si>
    <t>Accenture</t>
  </si>
  <si>
    <t>IT Consulting &amp; Other Services</t>
  </si>
  <si>
    <t>ADBE</t>
  </si>
  <si>
    <t>Adobe Inc.</t>
  </si>
  <si>
    <t>Application Software</t>
  </si>
  <si>
    <t>AMD</t>
  </si>
  <si>
    <t>Advanced Micro Devices</t>
  </si>
  <si>
    <t>Semiconductors</t>
  </si>
  <si>
    <t>AES</t>
  </si>
  <si>
    <t>AES Corporation</t>
  </si>
  <si>
    <t>Independent Power Producers &amp; Energy Traders</t>
  </si>
  <si>
    <t>AFL</t>
  </si>
  <si>
    <t>Aflac</t>
  </si>
  <si>
    <t>Life &amp; Health Insurance</t>
  </si>
  <si>
    <t>A</t>
  </si>
  <si>
    <t>Agilent Technologies</t>
  </si>
  <si>
    <t>Life Sciences Tools &amp; Services</t>
  </si>
  <si>
    <t>APD</t>
  </si>
  <si>
    <t>Air Products</t>
  </si>
  <si>
    <t>Industrial Gases</t>
  </si>
  <si>
    <t>ABNB</t>
  </si>
  <si>
    <t>Airbnb</t>
  </si>
  <si>
    <t>Hotels, Resorts &amp; Cruise Lines</t>
  </si>
  <si>
    <t>AKAM</t>
  </si>
  <si>
    <t>Akamai Technologies</t>
  </si>
  <si>
    <t>Internet Services &amp; Infrastructure</t>
  </si>
  <si>
    <t>ALB</t>
  </si>
  <si>
    <t>Albemarle Corporation</t>
  </si>
  <si>
    <t>Specialty Chemicals</t>
  </si>
  <si>
    <t>ARE</t>
  </si>
  <si>
    <t>Alexandria Real Estate Equities</t>
  </si>
  <si>
    <t>Office REITs</t>
  </si>
  <si>
    <t>ALGN</t>
  </si>
  <si>
    <t>Align Technology</t>
  </si>
  <si>
    <t>Health Care Supplies</t>
  </si>
  <si>
    <t>ALLE</t>
  </si>
  <si>
    <t>Allegion</t>
  </si>
  <si>
    <t>LNT</t>
  </si>
  <si>
    <t>Alliant Energy</t>
  </si>
  <si>
    <t>Electric Utilities</t>
  </si>
  <si>
    <t>ALL</t>
  </si>
  <si>
    <t>Allstate</t>
  </si>
  <si>
    <t>Property &amp; Casualty Insurance</t>
  </si>
  <si>
    <t>GOOGL</t>
  </si>
  <si>
    <t>Alphabet Inc. (Class A)</t>
  </si>
  <si>
    <t>Interactive Media &amp; Services</t>
  </si>
  <si>
    <t>GOOG</t>
  </si>
  <si>
    <t>Alphabet Inc. (Class C)</t>
  </si>
  <si>
    <t>MO</t>
  </si>
  <si>
    <t>Altria</t>
  </si>
  <si>
    <t>Tobacco</t>
  </si>
  <si>
    <t>AMZN</t>
  </si>
  <si>
    <t>Amazon</t>
  </si>
  <si>
    <t>Broadline Retail</t>
  </si>
  <si>
    <t>AMCR</t>
  </si>
  <si>
    <t>Amcor</t>
  </si>
  <si>
    <t>Paper &amp; Plastic Packaging Products &amp; Materials</t>
  </si>
  <si>
    <t>AMTM</t>
  </si>
  <si>
    <t>Amentum</t>
  </si>
  <si>
    <t>Diversified Support Services</t>
  </si>
  <si>
    <t>AEE</t>
  </si>
  <si>
    <t>Ameren</t>
  </si>
  <si>
    <t>Multi-Utilities</t>
  </si>
  <si>
    <t>AEP</t>
  </si>
  <si>
    <t>American Electric Power</t>
  </si>
  <si>
    <t>AXP</t>
  </si>
  <si>
    <t>American Express</t>
  </si>
  <si>
    <t>Consumer Finance</t>
  </si>
  <si>
    <t>AIG</t>
  </si>
  <si>
    <t>American International Group</t>
  </si>
  <si>
    <t>Multi-line Insurance</t>
  </si>
  <si>
    <t>AMT</t>
  </si>
  <si>
    <t>American Tower</t>
  </si>
  <si>
    <t>Telecom Tower REITs</t>
  </si>
  <si>
    <t>AWK</t>
  </si>
  <si>
    <t>American Water Works</t>
  </si>
  <si>
    <t>Water Utilities</t>
  </si>
  <si>
    <t>AMP</t>
  </si>
  <si>
    <t>Ameriprise Financial</t>
  </si>
  <si>
    <t>Asset Management &amp; Custody Banks</t>
  </si>
  <si>
    <t>AME</t>
  </si>
  <si>
    <t>Ametek</t>
  </si>
  <si>
    <t>Electrical Components &amp; Equipment</t>
  </si>
  <si>
    <t>AMGN</t>
  </si>
  <si>
    <t>Amgen</t>
  </si>
  <si>
    <t>APH</t>
  </si>
  <si>
    <t>Amphenol</t>
  </si>
  <si>
    <t>Electronic Components</t>
  </si>
  <si>
    <t>ADI</t>
  </si>
  <si>
    <t>Analog Devices</t>
  </si>
  <si>
    <t>ANSS</t>
  </si>
  <si>
    <t>Ansys</t>
  </si>
  <si>
    <t>AON</t>
  </si>
  <si>
    <t>Aon</t>
  </si>
  <si>
    <t>Insurance Brokers</t>
  </si>
  <si>
    <t>APA</t>
  </si>
  <si>
    <t>APA Corporation</t>
  </si>
  <si>
    <t>Oil &amp; Gas Exploration &amp; Production</t>
  </si>
  <si>
    <t>AAPL</t>
  </si>
  <si>
    <t>Apple Inc.</t>
  </si>
  <si>
    <t>Technology Hardware, Storage &amp; Peripherals</t>
  </si>
  <si>
    <t>AMAT</t>
  </si>
  <si>
    <t>Applied Materials</t>
  </si>
  <si>
    <t>Semiconductor Materials &amp; Equipment</t>
  </si>
  <si>
    <t>APTV</t>
  </si>
  <si>
    <t>Aptiv</t>
  </si>
  <si>
    <t>Automotive Parts &amp; Equipment</t>
  </si>
  <si>
    <t>ACGL</t>
  </si>
  <si>
    <t>Arch Capital Group</t>
  </si>
  <si>
    <t>ADM</t>
  </si>
  <si>
    <t>Archer Daniels Midland</t>
  </si>
  <si>
    <t>Agricultural Products &amp; Services</t>
  </si>
  <si>
    <t>ANET</t>
  </si>
  <si>
    <t>Arista Networks</t>
  </si>
  <si>
    <t>Communications Equipment</t>
  </si>
  <si>
    <t>AJG</t>
  </si>
  <si>
    <t>Arthur J. Gallagher &amp; Co.</t>
  </si>
  <si>
    <t>AIZ</t>
  </si>
  <si>
    <t>Assurant</t>
  </si>
  <si>
    <t>T</t>
  </si>
  <si>
    <t>AT&amp;T</t>
  </si>
  <si>
    <t>Integrated Telecommunication Services</t>
  </si>
  <si>
    <t>ATO</t>
  </si>
  <si>
    <t>Atmos Energy</t>
  </si>
  <si>
    <t>Gas Utilities</t>
  </si>
  <si>
    <t>ADSK</t>
  </si>
  <si>
    <t>Autodesk</t>
  </si>
  <si>
    <t>ADP</t>
  </si>
  <si>
    <t>Automatic Data Processing</t>
  </si>
  <si>
    <t>Human Resource &amp; Employment Services</t>
  </si>
  <si>
    <t>AZO</t>
  </si>
  <si>
    <t>AutoZone</t>
  </si>
  <si>
    <t>Automotive Retail</t>
  </si>
  <si>
    <t>AVB</t>
  </si>
  <si>
    <t>AvalonBay Communities</t>
  </si>
  <si>
    <t>Multi-Family Residential REITs</t>
  </si>
  <si>
    <t>AVY</t>
  </si>
  <si>
    <t>Avery Dennison</t>
  </si>
  <si>
    <t>AXON</t>
  </si>
  <si>
    <t>Axon Enterprise</t>
  </si>
  <si>
    <t>Aerospace &amp; Defense</t>
  </si>
  <si>
    <t>BKR</t>
  </si>
  <si>
    <t>Baker Hughes</t>
  </si>
  <si>
    <t>Oil &amp; Gas Equipment &amp; Services</t>
  </si>
  <si>
    <t>BALL</t>
  </si>
  <si>
    <t>Ball Corporation</t>
  </si>
  <si>
    <t>Metal, Glass &amp; Plastic Containers</t>
  </si>
  <si>
    <t>BAC</t>
  </si>
  <si>
    <t>Bank of America</t>
  </si>
  <si>
    <t>Diversified Banks</t>
  </si>
  <si>
    <t>BAX</t>
  </si>
  <si>
    <t>Baxter International</t>
  </si>
  <si>
    <t>BDX</t>
  </si>
  <si>
    <t>Becton Dickinson</t>
  </si>
  <si>
    <t>BRK.B</t>
  </si>
  <si>
    <t>Berkshire Hathaway</t>
  </si>
  <si>
    <t>Multi-Sector Holdings</t>
  </si>
  <si>
    <t>BBY</t>
  </si>
  <si>
    <t>Best Buy</t>
  </si>
  <si>
    <t>Computer &amp; Electronics Retail</t>
  </si>
  <si>
    <t>TECH</t>
  </si>
  <si>
    <t>Bio-Techne</t>
  </si>
  <si>
    <t>BIIB</t>
  </si>
  <si>
    <t>Biogen</t>
  </si>
  <si>
    <t>BLK</t>
  </si>
  <si>
    <t>BlackRock</t>
  </si>
  <si>
    <t>BX</t>
  </si>
  <si>
    <t>Blackstone Inc.</t>
  </si>
  <si>
    <t>BK</t>
  </si>
  <si>
    <t>BNY Mellon</t>
  </si>
  <si>
    <t>BA</t>
  </si>
  <si>
    <t>Boeing</t>
  </si>
  <si>
    <t>BKNG</t>
  </si>
  <si>
    <t>Booking Holdings</t>
  </si>
  <si>
    <t>BWA</t>
  </si>
  <si>
    <t>BorgWarner</t>
  </si>
  <si>
    <t>BSX</t>
  </si>
  <si>
    <t>Boston Scientific</t>
  </si>
  <si>
    <t>BMY</t>
  </si>
  <si>
    <t>Bristol Myers Squibb</t>
  </si>
  <si>
    <t>Pharmaceuticals</t>
  </si>
  <si>
    <t>AVGO</t>
  </si>
  <si>
    <t>Broadcom</t>
  </si>
  <si>
    <t>BR</t>
  </si>
  <si>
    <t>Broadridge Financial Solutions</t>
  </si>
  <si>
    <t>Data Processing &amp; Outsourced Services</t>
  </si>
  <si>
    <t>BRO</t>
  </si>
  <si>
    <t>Brown &amp; Brown</t>
  </si>
  <si>
    <t>BF.B</t>
  </si>
  <si>
    <t>Brown–Forman</t>
  </si>
  <si>
    <t>Distillers &amp; Vintners</t>
  </si>
  <si>
    <t>BLDR</t>
  </si>
  <si>
    <t>Builders FirstSource</t>
  </si>
  <si>
    <t>BG</t>
  </si>
  <si>
    <t>Bunge Global</t>
  </si>
  <si>
    <t>BXP</t>
  </si>
  <si>
    <t>BXP, Inc.</t>
  </si>
  <si>
    <t>CHRW</t>
  </si>
  <si>
    <t>C.H. Robinson</t>
  </si>
  <si>
    <t>Air Freight &amp; Logistics</t>
  </si>
  <si>
    <t>CDNS</t>
  </si>
  <si>
    <t>Cadence Design Systems</t>
  </si>
  <si>
    <t>CZR</t>
  </si>
  <si>
    <t>Caesars Entertainment</t>
  </si>
  <si>
    <t>Casinos &amp; Gaming</t>
  </si>
  <si>
    <t>CPT</t>
  </si>
  <si>
    <t>Camden Property Trust</t>
  </si>
  <si>
    <t>CPB</t>
  </si>
  <si>
    <t>Campbell Soup Company</t>
  </si>
  <si>
    <t>Packaged Foods &amp; Meats</t>
  </si>
  <si>
    <t>COF</t>
  </si>
  <si>
    <t>Capital One</t>
  </si>
  <si>
    <t>CAH</t>
  </si>
  <si>
    <t>Cardinal Health</t>
  </si>
  <si>
    <t>Health Care Distributors</t>
  </si>
  <si>
    <t>KMX</t>
  </si>
  <si>
    <t>CarMax</t>
  </si>
  <si>
    <t>CCL</t>
  </si>
  <si>
    <t>Carnival</t>
  </si>
  <si>
    <t>CARR</t>
  </si>
  <si>
    <t>Carrier Global</t>
  </si>
  <si>
    <t>CTLT</t>
  </si>
  <si>
    <t>Catalent</t>
  </si>
  <si>
    <t>CAT</t>
  </si>
  <si>
    <t>Caterpillar Inc.</t>
  </si>
  <si>
    <t>Construction Machinery &amp; Heavy Transportation Equipment</t>
  </si>
  <si>
    <t>CBOE</t>
  </si>
  <si>
    <t>Cboe Global Markets</t>
  </si>
  <si>
    <t>Financial Exchanges &amp; Data</t>
  </si>
  <si>
    <t>CBRE</t>
  </si>
  <si>
    <t>CBRE Group</t>
  </si>
  <si>
    <t>Real Estate Services</t>
  </si>
  <si>
    <t>CDW</t>
  </si>
  <si>
    <t>Technology Distributors</t>
  </si>
  <si>
    <t>CE</t>
  </si>
  <si>
    <t>Celanese</t>
  </si>
  <si>
    <t>COR</t>
  </si>
  <si>
    <t>Cencora</t>
  </si>
  <si>
    <t>CNC</t>
  </si>
  <si>
    <t>Centene Corporation</t>
  </si>
  <si>
    <t>Managed Health Care</t>
  </si>
  <si>
    <t>CNP</t>
  </si>
  <si>
    <t>CenterPoint Energy</t>
  </si>
  <si>
    <t>CF</t>
  </si>
  <si>
    <t>CF Industries</t>
  </si>
  <si>
    <t>Fertilizers &amp; Agricultural Chemicals</t>
  </si>
  <si>
    <t>CRL</t>
  </si>
  <si>
    <t>Charles River Laboratories</t>
  </si>
  <si>
    <t>SCHW</t>
  </si>
  <si>
    <t>Charles Schwab Corporation</t>
  </si>
  <si>
    <t>Investment Banking &amp; Brokerage</t>
  </si>
  <si>
    <t>CHTR</t>
  </si>
  <si>
    <t>Charter Communications</t>
  </si>
  <si>
    <t>Cable &amp; Satellite</t>
  </si>
  <si>
    <t>CVX</t>
  </si>
  <si>
    <t>Chevron Corporation</t>
  </si>
  <si>
    <t>Integrated Oil &amp; Gas</t>
  </si>
  <si>
    <t>CMG</t>
  </si>
  <si>
    <t>Chipotle Mexican Grill</t>
  </si>
  <si>
    <t>Restaurants</t>
  </si>
  <si>
    <t>CB</t>
  </si>
  <si>
    <t>Chubb Limited</t>
  </si>
  <si>
    <t>CHD</t>
  </si>
  <si>
    <t>Church &amp; Dwight</t>
  </si>
  <si>
    <t>Household Products</t>
  </si>
  <si>
    <t>CI</t>
  </si>
  <si>
    <t>Cigna</t>
  </si>
  <si>
    <t>Health Care Services</t>
  </si>
  <si>
    <t>CINF</t>
  </si>
  <si>
    <t>Cincinnati Financial</t>
  </si>
  <si>
    <t>CTAS</t>
  </si>
  <si>
    <t>Cintas</t>
  </si>
  <si>
    <t>CSCO</t>
  </si>
  <si>
    <t>Cisco</t>
  </si>
  <si>
    <t>C</t>
  </si>
  <si>
    <t>Citigroup</t>
  </si>
  <si>
    <t>CFG</t>
  </si>
  <si>
    <t>Citizens Financial Group</t>
  </si>
  <si>
    <t>Regional Banks</t>
  </si>
  <si>
    <t>CLX</t>
  </si>
  <si>
    <t>Clorox</t>
  </si>
  <si>
    <t>CME</t>
  </si>
  <si>
    <t>CME Group</t>
  </si>
  <si>
    <t>CMS</t>
  </si>
  <si>
    <t>CMS Energy</t>
  </si>
  <si>
    <t>KO</t>
  </si>
  <si>
    <t>Coca-Cola Company (The)</t>
  </si>
  <si>
    <t>Soft Drinks &amp; Non-alcoholic Beverages</t>
  </si>
  <si>
    <t>CTSH</t>
  </si>
  <si>
    <t>Cognizant</t>
  </si>
  <si>
    <t>CL</t>
  </si>
  <si>
    <t>Colgate-Palmolive</t>
  </si>
  <si>
    <t>CMCSA</t>
  </si>
  <si>
    <t>Comcast</t>
  </si>
  <si>
    <t>CAG</t>
  </si>
  <si>
    <t>Conagra Brands</t>
  </si>
  <si>
    <t>COP</t>
  </si>
  <si>
    <t>ConocoPhillips</t>
  </si>
  <si>
    <t>ED</t>
  </si>
  <si>
    <t>Consolidated Edison</t>
  </si>
  <si>
    <t>STZ</t>
  </si>
  <si>
    <t>Constellation Brands</t>
  </si>
  <si>
    <t>CEG</t>
  </si>
  <si>
    <t>Constellation Energy</t>
  </si>
  <si>
    <t>COO</t>
  </si>
  <si>
    <t>Cooper Companies (The)</t>
  </si>
  <si>
    <t>CPRT</t>
  </si>
  <si>
    <t>Copart</t>
  </si>
  <si>
    <t>GLW</t>
  </si>
  <si>
    <t>Corning Inc.</t>
  </si>
  <si>
    <t>CPAY</t>
  </si>
  <si>
    <t>Corpay</t>
  </si>
  <si>
    <t>Transaction &amp; Payment Processing Services</t>
  </si>
  <si>
    <t>CTVA</t>
  </si>
  <si>
    <t>Corteva</t>
  </si>
  <si>
    <t>CSGP</t>
  </si>
  <si>
    <t>CoStar Group</t>
  </si>
  <si>
    <t>COST</t>
  </si>
  <si>
    <t>Costco</t>
  </si>
  <si>
    <t>Consumer Staples Merchandise Retail</t>
  </si>
  <si>
    <t>CTRA</t>
  </si>
  <si>
    <t>Coterra</t>
  </si>
  <si>
    <t>CRWD</t>
  </si>
  <si>
    <t>CrowdStrike</t>
  </si>
  <si>
    <t>Systems Software</t>
  </si>
  <si>
    <t>CCI</t>
  </si>
  <si>
    <t>Crown Castle</t>
  </si>
  <si>
    <t>CSX</t>
  </si>
  <si>
    <t>CSX Corporation</t>
  </si>
  <si>
    <t>Rail Transportation</t>
  </si>
  <si>
    <t>CMI</t>
  </si>
  <si>
    <t>Cummins</t>
  </si>
  <si>
    <t>CVS</t>
  </si>
  <si>
    <t>CVS Health</t>
  </si>
  <si>
    <t>DHI</t>
  </si>
  <si>
    <t>D. R. Horton</t>
  </si>
  <si>
    <t>Homebuilding</t>
  </si>
  <si>
    <t>DHR</t>
  </si>
  <si>
    <t>Danaher Corporation</t>
  </si>
  <si>
    <t>DRI</t>
  </si>
  <si>
    <t>Darden Restaurants</t>
  </si>
  <si>
    <t>DVA</t>
  </si>
  <si>
    <t>DaVita</t>
  </si>
  <si>
    <t>DAY</t>
  </si>
  <si>
    <t>Dayforce</t>
  </si>
  <si>
    <t>DECK</t>
  </si>
  <si>
    <t>Deckers Brands</t>
  </si>
  <si>
    <t>Footwear</t>
  </si>
  <si>
    <t>DE</t>
  </si>
  <si>
    <t>Deere &amp; Company</t>
  </si>
  <si>
    <t>Agricultural &amp; Farm Machinery</t>
  </si>
  <si>
    <t>DELL</t>
  </si>
  <si>
    <t>Dell Technologies</t>
  </si>
  <si>
    <t>DAL</t>
  </si>
  <si>
    <t>Delta Air Lines</t>
  </si>
  <si>
    <t>Passenger Airlines</t>
  </si>
  <si>
    <t>DVN</t>
  </si>
  <si>
    <t>Devon Energy</t>
  </si>
  <si>
    <t>DXCM</t>
  </si>
  <si>
    <t>Dexcom</t>
  </si>
  <si>
    <t>FANG</t>
  </si>
  <si>
    <t>Diamondback Energy</t>
  </si>
  <si>
    <t>DLR</t>
  </si>
  <si>
    <t>Digital Realty</t>
  </si>
  <si>
    <t>Data Center REITs</t>
  </si>
  <si>
    <t>DFS</t>
  </si>
  <si>
    <t>Discover Financial</t>
  </si>
  <si>
    <t>DG</t>
  </si>
  <si>
    <t>Dollar General</t>
  </si>
  <si>
    <t>DLTR</t>
  </si>
  <si>
    <t>Dollar Tree</t>
  </si>
  <si>
    <t>D</t>
  </si>
  <si>
    <t>Dominion Energy</t>
  </si>
  <si>
    <t>DPZ</t>
  </si>
  <si>
    <t>Domino's</t>
  </si>
  <si>
    <t>DOV</t>
  </si>
  <si>
    <t>Dover Corporation</t>
  </si>
  <si>
    <t>Industrial Machinery &amp; Supplies &amp; Components</t>
  </si>
  <si>
    <t>DOW</t>
  </si>
  <si>
    <t>Dow Inc.</t>
  </si>
  <si>
    <t>Commodity Chemicals</t>
  </si>
  <si>
    <t>DTE</t>
  </si>
  <si>
    <t>DTE Energy</t>
  </si>
  <si>
    <t>DUK</t>
  </si>
  <si>
    <t>Duke Energy</t>
  </si>
  <si>
    <t>DD</t>
  </si>
  <si>
    <t>DuPont</t>
  </si>
  <si>
    <t>EMN</t>
  </si>
  <si>
    <t>Eastman Chemical Company</t>
  </si>
  <si>
    <t>ETN</t>
  </si>
  <si>
    <t>Eaton Corporation</t>
  </si>
  <si>
    <t>EBAY</t>
  </si>
  <si>
    <t>eBay</t>
  </si>
  <si>
    <t>ECL</t>
  </si>
  <si>
    <t>Ecolab</t>
  </si>
  <si>
    <t>EIX</t>
  </si>
  <si>
    <t>Edison International</t>
  </si>
  <si>
    <t>EW</t>
  </si>
  <si>
    <t>Edwards Lifesciences</t>
  </si>
  <si>
    <t>EA</t>
  </si>
  <si>
    <t>Electronic Arts</t>
  </si>
  <si>
    <t>Interactive Home Entertainment</t>
  </si>
  <si>
    <t>ELV</t>
  </si>
  <si>
    <t>Elevance Health</t>
  </si>
  <si>
    <t>EMR</t>
  </si>
  <si>
    <t>Emerson Electric</t>
  </si>
  <si>
    <t>ENPH</t>
  </si>
  <si>
    <t>Enphase Energy</t>
  </si>
  <si>
    <t>ETR</t>
  </si>
  <si>
    <t>Entergy</t>
  </si>
  <si>
    <t>EOG</t>
  </si>
  <si>
    <t>EOG Resources</t>
  </si>
  <si>
    <t>EPAM</t>
  </si>
  <si>
    <t>EPAM Systems</t>
  </si>
  <si>
    <t>EQT</t>
  </si>
  <si>
    <t>EQT Corporation</t>
  </si>
  <si>
    <t>EFX</t>
  </si>
  <si>
    <t>Equifax</t>
  </si>
  <si>
    <t>Research &amp; Consulting Services</t>
  </si>
  <si>
    <t>EQIX</t>
  </si>
  <si>
    <t>Equinix</t>
  </si>
  <si>
    <t>EQR</t>
  </si>
  <si>
    <t>Equity Residential</t>
  </si>
  <si>
    <t>ERIE</t>
  </si>
  <si>
    <t>Erie Indemnity</t>
  </si>
  <si>
    <t>ESS</t>
  </si>
  <si>
    <t>Essex Property Trust</t>
  </si>
  <si>
    <t>EL</t>
  </si>
  <si>
    <t>Estée Lauder Companies (The)</t>
  </si>
  <si>
    <t>Personal Care Products</t>
  </si>
  <si>
    <t>EG</t>
  </si>
  <si>
    <t>Everest Group</t>
  </si>
  <si>
    <t>Reinsurance</t>
  </si>
  <si>
    <t>EVRG</t>
  </si>
  <si>
    <t>Evergy</t>
  </si>
  <si>
    <t>ES</t>
  </si>
  <si>
    <t>Eversource Energy</t>
  </si>
  <si>
    <t>EXC</t>
  </si>
  <si>
    <t>Exelon</t>
  </si>
  <si>
    <t>EXPE</t>
  </si>
  <si>
    <t>Expedia Group</t>
  </si>
  <si>
    <t>EXPD</t>
  </si>
  <si>
    <t>Expeditors International</t>
  </si>
  <si>
    <t>EXR</t>
  </si>
  <si>
    <t>Extra Space Storage</t>
  </si>
  <si>
    <t>Self-Storage REITs</t>
  </si>
  <si>
    <t>XOM</t>
  </si>
  <si>
    <t>ExxonMobil</t>
  </si>
  <si>
    <t>FFIV</t>
  </si>
  <si>
    <t>F5, Inc.</t>
  </si>
  <si>
    <t>FDS</t>
  </si>
  <si>
    <t>FactSet</t>
  </si>
  <si>
    <t>FICO</t>
  </si>
  <si>
    <t>Fair Isaac</t>
  </si>
  <si>
    <t>FAST</t>
  </si>
  <si>
    <t>Fastenal</t>
  </si>
  <si>
    <t>Trading Companies &amp; Distributors</t>
  </si>
  <si>
    <t>FRT</t>
  </si>
  <si>
    <t>Federal Realty Investment Trust</t>
  </si>
  <si>
    <t>Retail REITs</t>
  </si>
  <si>
    <t>FDX</t>
  </si>
  <si>
    <t>FedEx</t>
  </si>
  <si>
    <t>FIS</t>
  </si>
  <si>
    <t>Fidelity National Information Services</t>
  </si>
  <si>
    <t>FITB</t>
  </si>
  <si>
    <t>Fifth Third Bancorp</t>
  </si>
  <si>
    <t>FSLR</t>
  </si>
  <si>
    <t>First Solar</t>
  </si>
  <si>
    <t>FE</t>
  </si>
  <si>
    <t>FirstEnergy</t>
  </si>
  <si>
    <t>FI</t>
  </si>
  <si>
    <t>Fiserv</t>
  </si>
  <si>
    <t>FMC</t>
  </si>
  <si>
    <t>FMC Corporation</t>
  </si>
  <si>
    <t>F</t>
  </si>
  <si>
    <t>Ford Motor Company</t>
  </si>
  <si>
    <t>Automobile Manufacturers</t>
  </si>
  <si>
    <t>FTNT</t>
  </si>
  <si>
    <t>Fortinet</t>
  </si>
  <si>
    <t>FTV</t>
  </si>
  <si>
    <t>Fortive</t>
  </si>
  <si>
    <t>FOXA</t>
  </si>
  <si>
    <t>Fox Corporation (Class A)</t>
  </si>
  <si>
    <t>Broadcasting</t>
  </si>
  <si>
    <t>FOX</t>
  </si>
  <si>
    <t>Fox Corporation (Class B)</t>
  </si>
  <si>
    <t>BEN</t>
  </si>
  <si>
    <t>Franklin Resources</t>
  </si>
  <si>
    <t>FCX</t>
  </si>
  <si>
    <t>Freeport-McMoRan</t>
  </si>
  <si>
    <t>Copper</t>
  </si>
  <si>
    <t>GRMN</t>
  </si>
  <si>
    <t>Garmin</t>
  </si>
  <si>
    <t>Consumer Electronics</t>
  </si>
  <si>
    <t>IT</t>
  </si>
  <si>
    <t>Gartner</t>
  </si>
  <si>
    <t>GE</t>
  </si>
  <si>
    <t>GE Aerospace</t>
  </si>
  <si>
    <t>GEHC</t>
  </si>
  <si>
    <t>GE HealthCare</t>
  </si>
  <si>
    <t>GEV</t>
  </si>
  <si>
    <t>GE Vernova</t>
  </si>
  <si>
    <t>Heavy Electrical Equipment</t>
  </si>
  <si>
    <t>GEN</t>
  </si>
  <si>
    <t>Gen Digital</t>
  </si>
  <si>
    <t>GNRC</t>
  </si>
  <si>
    <t>Generac</t>
  </si>
  <si>
    <t>GD</t>
  </si>
  <si>
    <t>General Dynamics</t>
  </si>
  <si>
    <t>GIS</t>
  </si>
  <si>
    <t>General Mills</t>
  </si>
  <si>
    <t>GM</t>
  </si>
  <si>
    <t>General Motors</t>
  </si>
  <si>
    <t>GPC</t>
  </si>
  <si>
    <t>Genuine Parts Company</t>
  </si>
  <si>
    <t>Distributors</t>
  </si>
  <si>
    <t>GILD</t>
  </si>
  <si>
    <t>Gilead Sciences</t>
  </si>
  <si>
    <t>GPN</t>
  </si>
  <si>
    <t>Global Payments</t>
  </si>
  <si>
    <t>GL</t>
  </si>
  <si>
    <t>Globe Life</t>
  </si>
  <si>
    <t>GDDY</t>
  </si>
  <si>
    <t>GoDaddy</t>
  </si>
  <si>
    <t>GS</t>
  </si>
  <si>
    <t>Goldman Sachs</t>
  </si>
  <si>
    <t>HAL</t>
  </si>
  <si>
    <t>Halliburton</t>
  </si>
  <si>
    <t>HIG</t>
  </si>
  <si>
    <t>Hartford (The)</t>
  </si>
  <si>
    <t>HAS</t>
  </si>
  <si>
    <t>Hasbro</t>
  </si>
  <si>
    <t>Leisure Products</t>
  </si>
  <si>
    <t>HCA</t>
  </si>
  <si>
    <t>HCA Healthcare</t>
  </si>
  <si>
    <t>Health Care Facilities</t>
  </si>
  <si>
    <t>DOC</t>
  </si>
  <si>
    <t>Healthpeak Properties</t>
  </si>
  <si>
    <t>Health Care REITs</t>
  </si>
  <si>
    <t>HSIC</t>
  </si>
  <si>
    <t>Henry Schein</t>
  </si>
  <si>
    <t>HSY</t>
  </si>
  <si>
    <t>Hershey Company (The)</t>
  </si>
  <si>
    <t>HES</t>
  </si>
  <si>
    <t>Hess Corporation</t>
  </si>
  <si>
    <t>HPE</t>
  </si>
  <si>
    <t>Hewlett Packard Enterprise</t>
  </si>
  <si>
    <t>HLT</t>
  </si>
  <si>
    <t>Hilton Worldwide</t>
  </si>
  <si>
    <t>HOLX</t>
  </si>
  <si>
    <t>Hologic</t>
  </si>
  <si>
    <t>HD</t>
  </si>
  <si>
    <t>Home Depot (The)</t>
  </si>
  <si>
    <t>Home Improvement Retail</t>
  </si>
  <si>
    <t>HON</t>
  </si>
  <si>
    <t>Honeywell</t>
  </si>
  <si>
    <t>HRL</t>
  </si>
  <si>
    <t>Hormel Foods</t>
  </si>
  <si>
    <t>HST</t>
  </si>
  <si>
    <t>Host Hotels &amp; Resorts</t>
  </si>
  <si>
    <t>Hotel &amp; Resort REITs</t>
  </si>
  <si>
    <t>HWM</t>
  </si>
  <si>
    <t>Howmet Aerospace</t>
  </si>
  <si>
    <t>HPQ</t>
  </si>
  <si>
    <t>HP Inc.</t>
  </si>
  <si>
    <t>HUBB</t>
  </si>
  <si>
    <t>Hubbell Incorporated</t>
  </si>
  <si>
    <t>HUM</t>
  </si>
  <si>
    <t>Humana</t>
  </si>
  <si>
    <t>HBAN</t>
  </si>
  <si>
    <t>Huntington Bancshares</t>
  </si>
  <si>
    <t>HII</t>
  </si>
  <si>
    <t>Huntington Ingalls Industries</t>
  </si>
  <si>
    <t>IBM</t>
  </si>
  <si>
    <t>IEX</t>
  </si>
  <si>
    <t>IDEX Corporation</t>
  </si>
  <si>
    <t>IDXX</t>
  </si>
  <si>
    <t>Idexx Laboratories</t>
  </si>
  <si>
    <t>ITW</t>
  </si>
  <si>
    <t>Illinois Tool Works</t>
  </si>
  <si>
    <t>INCY</t>
  </si>
  <si>
    <t>Incyte</t>
  </si>
  <si>
    <t>IR</t>
  </si>
  <si>
    <t>Ingersoll Rand</t>
  </si>
  <si>
    <t>PODD</t>
  </si>
  <si>
    <t>Insulet Corporation</t>
  </si>
  <si>
    <t>INTC</t>
  </si>
  <si>
    <t>Intel</t>
  </si>
  <si>
    <t>ICE</t>
  </si>
  <si>
    <t>Intercontinental Exchange</t>
  </si>
  <si>
    <t>IFF</t>
  </si>
  <si>
    <t>International Flavors &amp; Fragrances</t>
  </si>
  <si>
    <t>IP</t>
  </si>
  <si>
    <t>International Paper</t>
  </si>
  <si>
    <t>IPG</t>
  </si>
  <si>
    <t>Interpublic Group of Companies (The)</t>
  </si>
  <si>
    <t>Advertising</t>
  </si>
  <si>
    <t>INTU</t>
  </si>
  <si>
    <t>Intuit</t>
  </si>
  <si>
    <t>ISRG</t>
  </si>
  <si>
    <t>Intuitive Surgical</t>
  </si>
  <si>
    <t>IVZ</t>
  </si>
  <si>
    <t>Invesco</t>
  </si>
  <si>
    <t>INVH</t>
  </si>
  <si>
    <t>Invitation Homes</t>
  </si>
  <si>
    <t>Single-Family Residential REITs</t>
  </si>
  <si>
    <t>IQV</t>
  </si>
  <si>
    <t>IQVIA</t>
  </si>
  <si>
    <t>IRM</t>
  </si>
  <si>
    <t>Iron Mountain</t>
  </si>
  <si>
    <t>Other Specialized REITs</t>
  </si>
  <si>
    <t>JBHT</t>
  </si>
  <si>
    <t>J.B. Hunt</t>
  </si>
  <si>
    <t>Cargo Ground Transportation</t>
  </si>
  <si>
    <t>SJM</t>
  </si>
  <si>
    <t>J.M. Smucker Company (The)</t>
  </si>
  <si>
    <t>JBL</t>
  </si>
  <si>
    <t>Jabil</t>
  </si>
  <si>
    <t>Electronic Manufacturing Services</t>
  </si>
  <si>
    <t>JKHY</t>
  </si>
  <si>
    <t>Jack Henry &amp; Associates</t>
  </si>
  <si>
    <t>J</t>
  </si>
  <si>
    <t>Jacobs Solutions</t>
  </si>
  <si>
    <t>Construction &amp; Engineering</t>
  </si>
  <si>
    <t>JNJ</t>
  </si>
  <si>
    <t>Johnson &amp; Johnson</t>
  </si>
  <si>
    <t>JCI</t>
  </si>
  <si>
    <t>Johnson Controls</t>
  </si>
  <si>
    <t>JPM</t>
  </si>
  <si>
    <t>JPMorgan Chase</t>
  </si>
  <si>
    <t>JNPR</t>
  </si>
  <si>
    <t>Juniper Networks</t>
  </si>
  <si>
    <t>K</t>
  </si>
  <si>
    <t>Kellanova</t>
  </si>
  <si>
    <t>KVUE</t>
  </si>
  <si>
    <t>Kenvue</t>
  </si>
  <si>
    <t>KDP</t>
  </si>
  <si>
    <t>Keurig Dr Pepper</t>
  </si>
  <si>
    <t>KEY</t>
  </si>
  <si>
    <t>KeyCorp</t>
  </si>
  <si>
    <t>KEYS</t>
  </si>
  <si>
    <t>Keysight Technologies</t>
  </si>
  <si>
    <t>Electronic Equipment &amp; Instruments</t>
  </si>
  <si>
    <t>KMB</t>
  </si>
  <si>
    <t>Kimberly-Clark</t>
  </si>
  <si>
    <t>KIM</t>
  </si>
  <si>
    <t>Kimco Realty</t>
  </si>
  <si>
    <t>KMI</t>
  </si>
  <si>
    <t>Kinder Morgan</t>
  </si>
  <si>
    <t>Oil &amp; Gas Storage &amp; Transportation</t>
  </si>
  <si>
    <t>KKR</t>
  </si>
  <si>
    <t>KLAC</t>
  </si>
  <si>
    <t>KLA Corporation</t>
  </si>
  <si>
    <t>KHC</t>
  </si>
  <si>
    <t>Kraft Heinz</t>
  </si>
  <si>
    <t>KR</t>
  </si>
  <si>
    <t>Kroger</t>
  </si>
  <si>
    <t>Food Retail</t>
  </si>
  <si>
    <t>LHX</t>
  </si>
  <si>
    <t>L3Harris</t>
  </si>
  <si>
    <t>LH</t>
  </si>
  <si>
    <t>LabCorp</t>
  </si>
  <si>
    <t>LRCX</t>
  </si>
  <si>
    <t>Lam Research</t>
  </si>
  <si>
    <t>LW</t>
  </si>
  <si>
    <t>Lamb Weston</t>
  </si>
  <si>
    <t>LVS</t>
  </si>
  <si>
    <t>Las Vegas Sands</t>
  </si>
  <si>
    <t>LDOS</t>
  </si>
  <si>
    <t>Leidos</t>
  </si>
  <si>
    <t>LEN</t>
  </si>
  <si>
    <t>Lennar</t>
  </si>
  <si>
    <t>LLY</t>
  </si>
  <si>
    <t>Lilly (Eli)</t>
  </si>
  <si>
    <t>LIN</t>
  </si>
  <si>
    <t>Linde plc</t>
  </si>
  <si>
    <t>LYV</t>
  </si>
  <si>
    <t>Live Nation Entertainment</t>
  </si>
  <si>
    <t>Movies &amp; Entertainment</t>
  </si>
  <si>
    <t>LKQ</t>
  </si>
  <si>
    <t>LKQ Corporation</t>
  </si>
  <si>
    <t>LMT</t>
  </si>
  <si>
    <t>Lockheed Martin</t>
  </si>
  <si>
    <t>L</t>
  </si>
  <si>
    <t>Loews Corporation</t>
  </si>
  <si>
    <t>LOW</t>
  </si>
  <si>
    <t>Lowe's</t>
  </si>
  <si>
    <t>LULU</t>
  </si>
  <si>
    <t>Lululemon Athletica</t>
  </si>
  <si>
    <t>Apparel, Accessories &amp; Luxury Goods</t>
  </si>
  <si>
    <t>LYB</t>
  </si>
  <si>
    <t>LyondellBasell</t>
  </si>
  <si>
    <t>MTB</t>
  </si>
  <si>
    <t>M&amp;T Bank</t>
  </si>
  <si>
    <t>MRO</t>
  </si>
  <si>
    <t>Marathon Oil</t>
  </si>
  <si>
    <t>MPC</t>
  </si>
  <si>
    <t>Marathon Petroleum</t>
  </si>
  <si>
    <t>Oil &amp; Gas Refining &amp; Marketing</t>
  </si>
  <si>
    <t>MKTX</t>
  </si>
  <si>
    <t>MarketAxess</t>
  </si>
  <si>
    <t>MAR</t>
  </si>
  <si>
    <t>Marriott International</t>
  </si>
  <si>
    <t>MMC</t>
  </si>
  <si>
    <t>Marsh McLennan</t>
  </si>
  <si>
    <t>MLM</t>
  </si>
  <si>
    <t>Martin Marietta Materials</t>
  </si>
  <si>
    <t>Construction Materials</t>
  </si>
  <si>
    <t>MAS</t>
  </si>
  <si>
    <t>Masco</t>
  </si>
  <si>
    <t>MA</t>
  </si>
  <si>
    <t>Mastercard</t>
  </si>
  <si>
    <t>MTCH</t>
  </si>
  <si>
    <t>Match Group</t>
  </si>
  <si>
    <t>MKC</t>
  </si>
  <si>
    <t>McCormick &amp; Company</t>
  </si>
  <si>
    <t>MCD</t>
  </si>
  <si>
    <t>McDonald's</t>
  </si>
  <si>
    <t>MCK</t>
  </si>
  <si>
    <t>McKesson Corporation</t>
  </si>
  <si>
    <t>MDT</t>
  </si>
  <si>
    <t>Medtronic</t>
  </si>
  <si>
    <t>MRK</t>
  </si>
  <si>
    <t>Merck &amp; Co.</t>
  </si>
  <si>
    <t>META</t>
  </si>
  <si>
    <t>Meta Platforms</t>
  </si>
  <si>
    <t>MET</t>
  </si>
  <si>
    <t>MetLife</t>
  </si>
  <si>
    <t>MTD</t>
  </si>
  <si>
    <t>Mettler Toledo</t>
  </si>
  <si>
    <t>MGM</t>
  </si>
  <si>
    <t>MGM Resorts</t>
  </si>
  <si>
    <t>MCHP</t>
  </si>
  <si>
    <t>Microchip Technology</t>
  </si>
  <si>
    <t>MU</t>
  </si>
  <si>
    <t>Micron Technology</t>
  </si>
  <si>
    <t>MSFT</t>
  </si>
  <si>
    <t>Microsoft</t>
  </si>
  <si>
    <t>MAA</t>
  </si>
  <si>
    <t>Mid-America Apartment Communities</t>
  </si>
  <si>
    <t>MRNA</t>
  </si>
  <si>
    <t>Moderna</t>
  </si>
  <si>
    <t>MHK</t>
  </si>
  <si>
    <t>Mohawk Industries</t>
  </si>
  <si>
    <t>Home Furnishings</t>
  </si>
  <si>
    <t>MOH</t>
  </si>
  <si>
    <t>Molina Healthcare</t>
  </si>
  <si>
    <t>TAP</t>
  </si>
  <si>
    <t>Molson Coors Beverage Company</t>
  </si>
  <si>
    <t>Brewers</t>
  </si>
  <si>
    <t>MDLZ</t>
  </si>
  <si>
    <t>Mondelez International</t>
  </si>
  <si>
    <t>MPWR</t>
  </si>
  <si>
    <t>Monolithic Power Systems</t>
  </si>
  <si>
    <t>MNST</t>
  </si>
  <si>
    <t>Monster Beverage</t>
  </si>
  <si>
    <t>MCO</t>
  </si>
  <si>
    <t>Moody's Corporation</t>
  </si>
  <si>
    <t>MS</t>
  </si>
  <si>
    <t>Morgan Stanley</t>
  </si>
  <si>
    <t>MOS</t>
  </si>
  <si>
    <t>Mosaic Company (The)</t>
  </si>
  <si>
    <t>MSI</t>
  </si>
  <si>
    <t>Motorola Solutions</t>
  </si>
  <si>
    <t>MSCI</t>
  </si>
  <si>
    <t>NDAQ</t>
  </si>
  <si>
    <t>Nasdaq, Inc.</t>
  </si>
  <si>
    <t>NTAP</t>
  </si>
  <si>
    <t>NetApp</t>
  </si>
  <si>
    <t>NFLX</t>
  </si>
  <si>
    <t>Netflix</t>
  </si>
  <si>
    <t>NEM</t>
  </si>
  <si>
    <t>Newmont</t>
  </si>
  <si>
    <t>Gold</t>
  </si>
  <si>
    <t>NWSA</t>
  </si>
  <si>
    <t>News Corp (Class A)</t>
  </si>
  <si>
    <t>Publishing</t>
  </si>
  <si>
    <t>NWS</t>
  </si>
  <si>
    <t>News Corp (Class B)</t>
  </si>
  <si>
    <t>NEE</t>
  </si>
  <si>
    <t>NextEra Energy</t>
  </si>
  <si>
    <t>NKE</t>
  </si>
  <si>
    <t>Nike, Inc.</t>
  </si>
  <si>
    <t>NI</t>
  </si>
  <si>
    <t>NiSource</t>
  </si>
  <si>
    <t>NDSN</t>
  </si>
  <si>
    <t>Nordson Corporation</t>
  </si>
  <si>
    <t>NSC</t>
  </si>
  <si>
    <t>Norfolk Southern Railway</t>
  </si>
  <si>
    <t>NTRS</t>
  </si>
  <si>
    <t>Northern Trust</t>
  </si>
  <si>
    <t>NOC</t>
  </si>
  <si>
    <t>Northrop Grumman</t>
  </si>
  <si>
    <t>NCLH</t>
  </si>
  <si>
    <t>Norwegian Cruise Line Holdings</t>
  </si>
  <si>
    <t>NRG</t>
  </si>
  <si>
    <t>NRG Energy</t>
  </si>
  <si>
    <t>NUE</t>
  </si>
  <si>
    <t>Nucor</t>
  </si>
  <si>
    <t>Steel</t>
  </si>
  <si>
    <t>NVDA</t>
  </si>
  <si>
    <t>Nvidia</t>
  </si>
  <si>
    <t>NVR</t>
  </si>
  <si>
    <t>NVR, Inc.</t>
  </si>
  <si>
    <t>NXPI</t>
  </si>
  <si>
    <t>NXP Semiconductors</t>
  </si>
  <si>
    <t>ORLY</t>
  </si>
  <si>
    <t>O'Reilly Auto Parts</t>
  </si>
  <si>
    <t>OXY</t>
  </si>
  <si>
    <t>Occidental Petroleum</t>
  </si>
  <si>
    <t>ODFL</t>
  </si>
  <si>
    <t>Old Dominion</t>
  </si>
  <si>
    <t>OMC</t>
  </si>
  <si>
    <t>Omnicom Group</t>
  </si>
  <si>
    <t>ON</t>
  </si>
  <si>
    <t>ON Semiconductor</t>
  </si>
  <si>
    <t>OKE</t>
  </si>
  <si>
    <t>ONEOK</t>
  </si>
  <si>
    <t>ORCL</t>
  </si>
  <si>
    <t>Oracle Corporation</t>
  </si>
  <si>
    <t>OTIS</t>
  </si>
  <si>
    <t>Otis Worldwide</t>
  </si>
  <si>
    <t>PCAR</t>
  </si>
  <si>
    <t>Paccar</t>
  </si>
  <si>
    <t>PKG</t>
  </si>
  <si>
    <t>Packaging Corporation of America</t>
  </si>
  <si>
    <t>PLTR</t>
  </si>
  <si>
    <t>Palantir Technologies</t>
  </si>
  <si>
    <t>PANW</t>
  </si>
  <si>
    <t>Palo Alto Networks</t>
  </si>
  <si>
    <t>PARA</t>
  </si>
  <si>
    <t>Paramount Global</t>
  </si>
  <si>
    <t>PH</t>
  </si>
  <si>
    <t>Parker Hannifin</t>
  </si>
  <si>
    <t>PAYX</t>
  </si>
  <si>
    <t>Paychex</t>
  </si>
  <si>
    <t>PAYC</t>
  </si>
  <si>
    <t>Paycom</t>
  </si>
  <si>
    <t>PYPL</t>
  </si>
  <si>
    <t>PNR</t>
  </si>
  <si>
    <t>Pentair</t>
  </si>
  <si>
    <t>PEP</t>
  </si>
  <si>
    <t>PepsiCo</t>
  </si>
  <si>
    <t>PFE</t>
  </si>
  <si>
    <t>Pfizer</t>
  </si>
  <si>
    <t>PCG</t>
  </si>
  <si>
    <t>PG&amp;E Corporation</t>
  </si>
  <si>
    <t>PM</t>
  </si>
  <si>
    <t>Philip Morris International</t>
  </si>
  <si>
    <t>PSX</t>
  </si>
  <si>
    <t>Phillips 66</t>
  </si>
  <si>
    <t>PNW</t>
  </si>
  <si>
    <t>Pinnacle West</t>
  </si>
  <si>
    <t>PNC</t>
  </si>
  <si>
    <t>PNC Financial Services</t>
  </si>
  <si>
    <t>POOL</t>
  </si>
  <si>
    <t>Pool Corporation</t>
  </si>
  <si>
    <t>PPG</t>
  </si>
  <si>
    <t>PPG Industries</t>
  </si>
  <si>
    <t>PPL</t>
  </si>
  <si>
    <t>PPL Corporation</t>
  </si>
  <si>
    <t>PFG</t>
  </si>
  <si>
    <t>Principal Financial Group</t>
  </si>
  <si>
    <t>PG</t>
  </si>
  <si>
    <t>Procter &amp; Gamble</t>
  </si>
  <si>
    <t>PGR</t>
  </si>
  <si>
    <t>Progressive Corporation</t>
  </si>
  <si>
    <t>PLD</t>
  </si>
  <si>
    <t>Prologis</t>
  </si>
  <si>
    <t>Industrial REITs</t>
  </si>
  <si>
    <t>PRU</t>
  </si>
  <si>
    <t>Prudential Financial</t>
  </si>
  <si>
    <t>PTC</t>
  </si>
  <si>
    <t>PTC Inc.</t>
  </si>
  <si>
    <t>PEG</t>
  </si>
  <si>
    <t>Public Service Enterprise Group</t>
  </si>
  <si>
    <t>PSA</t>
  </si>
  <si>
    <t>Public Storage</t>
  </si>
  <si>
    <t>PHM</t>
  </si>
  <si>
    <t>PulteGroup</t>
  </si>
  <si>
    <t>QRVO</t>
  </si>
  <si>
    <t>Qorvo</t>
  </si>
  <si>
    <t>QCOM</t>
  </si>
  <si>
    <t>Qualcomm</t>
  </si>
  <si>
    <t>PWR</t>
  </si>
  <si>
    <t>Quanta Services</t>
  </si>
  <si>
    <t>DGX</t>
  </si>
  <si>
    <t>Quest Diagnostics</t>
  </si>
  <si>
    <t>RL</t>
  </si>
  <si>
    <t>Ralph Lauren Corporation</t>
  </si>
  <si>
    <t>RJF</t>
  </si>
  <si>
    <t>Raymond James Financial</t>
  </si>
  <si>
    <t>O</t>
  </si>
  <si>
    <t>Realty Income</t>
  </si>
  <si>
    <t>REG</t>
  </si>
  <si>
    <t>Regency Centers</t>
  </si>
  <si>
    <t>REGN</t>
  </si>
  <si>
    <t>Regeneron Pharmaceuticals</t>
  </si>
  <si>
    <t>RF</t>
  </si>
  <si>
    <t>Regions Financial Corporation</t>
  </si>
  <si>
    <t>RSG</t>
  </si>
  <si>
    <t>Republic Services</t>
  </si>
  <si>
    <t>Environmental &amp; Facilities Services</t>
  </si>
  <si>
    <t>RMD</t>
  </si>
  <si>
    <t>ResMed</t>
  </si>
  <si>
    <t>RVTY</t>
  </si>
  <si>
    <t>Revvity</t>
  </si>
  <si>
    <t>ROK</t>
  </si>
  <si>
    <t>Rockwell Automation</t>
  </si>
  <si>
    <t>ROL</t>
  </si>
  <si>
    <t>Rollins, Inc.</t>
  </si>
  <si>
    <t>ROP</t>
  </si>
  <si>
    <t>Roper Technologies</t>
  </si>
  <si>
    <t>ROST</t>
  </si>
  <si>
    <t>Ross Stores</t>
  </si>
  <si>
    <t>Apparel Retail</t>
  </si>
  <si>
    <t>RCL</t>
  </si>
  <si>
    <t>Royal Caribbean Group</t>
  </si>
  <si>
    <t>RTX</t>
  </si>
  <si>
    <t>RTX Corporation</t>
  </si>
  <si>
    <t>SPGI</t>
  </si>
  <si>
    <t>S&amp;P Global</t>
  </si>
  <si>
    <t>CRM</t>
  </si>
  <si>
    <t>Salesforce</t>
  </si>
  <si>
    <t>SBAC</t>
  </si>
  <si>
    <t>SBA Communications</t>
  </si>
  <si>
    <t>SLB</t>
  </si>
  <si>
    <t>Schlumberger</t>
  </si>
  <si>
    <t>STX</t>
  </si>
  <si>
    <t>Seagate Technology</t>
  </si>
  <si>
    <t>SRE</t>
  </si>
  <si>
    <t>Sempra</t>
  </si>
  <si>
    <t>NOW</t>
  </si>
  <si>
    <t>ServiceNow</t>
  </si>
  <si>
    <t>SHW</t>
  </si>
  <si>
    <t>Sherwin-Williams</t>
  </si>
  <si>
    <t>SPG</t>
  </si>
  <si>
    <t>Simon Property Group</t>
  </si>
  <si>
    <t>SWKS</t>
  </si>
  <si>
    <t>Skyworks Solutions</t>
  </si>
  <si>
    <t>SW</t>
  </si>
  <si>
    <t>Smurfit WestRock</t>
  </si>
  <si>
    <t>SNA</t>
  </si>
  <si>
    <t>Snap-on</t>
  </si>
  <si>
    <t>SOLV</t>
  </si>
  <si>
    <t>Solventum</t>
  </si>
  <si>
    <t>Health Care Technology</t>
  </si>
  <si>
    <t>SO</t>
  </si>
  <si>
    <t>Southern Company</t>
  </si>
  <si>
    <t>LUV</t>
  </si>
  <si>
    <t>Southwest Airlines</t>
  </si>
  <si>
    <t>SWK</t>
  </si>
  <si>
    <t>Stanley Black &amp; Decker</t>
  </si>
  <si>
    <t>SBUX</t>
  </si>
  <si>
    <t>Starbucks</t>
  </si>
  <si>
    <t>STT</t>
  </si>
  <si>
    <t>State Street Corporation</t>
  </si>
  <si>
    <t>STLD</t>
  </si>
  <si>
    <t>Steel Dynamics</t>
  </si>
  <si>
    <t>STE</t>
  </si>
  <si>
    <t>Steris</t>
  </si>
  <si>
    <t>SYK</t>
  </si>
  <si>
    <t>Stryker Corporation</t>
  </si>
  <si>
    <t>SMCI</t>
  </si>
  <si>
    <t>Supermicro</t>
  </si>
  <si>
    <t>SYF</t>
  </si>
  <si>
    <t>Synchrony Financial</t>
  </si>
  <si>
    <t>SNPS</t>
  </si>
  <si>
    <t>Synopsys</t>
  </si>
  <si>
    <t>SYY</t>
  </si>
  <si>
    <t>Sysco</t>
  </si>
  <si>
    <t>Food Distributors</t>
  </si>
  <si>
    <t>TMUS</t>
  </si>
  <si>
    <t>T-Mobile US</t>
  </si>
  <si>
    <t>Wireless Telecommunication Services</t>
  </si>
  <si>
    <t>TROW</t>
  </si>
  <si>
    <t>T. Rowe Price</t>
  </si>
  <si>
    <t>TTWO</t>
  </si>
  <si>
    <t>Take-Two Interactive</t>
  </si>
  <si>
    <t>TPR</t>
  </si>
  <si>
    <t>Tapestry, Inc.</t>
  </si>
  <si>
    <t>TRGP</t>
  </si>
  <si>
    <t>Targa Resources</t>
  </si>
  <si>
    <t>TGT</t>
  </si>
  <si>
    <t>Target Corporation</t>
  </si>
  <si>
    <t>TEL</t>
  </si>
  <si>
    <t>TE Connectivity</t>
  </si>
  <si>
    <t>TDY</t>
  </si>
  <si>
    <t>Teledyne Technologies</t>
  </si>
  <si>
    <t>TFX</t>
  </si>
  <si>
    <t>Teleflex</t>
  </si>
  <si>
    <t>TER</t>
  </si>
  <si>
    <t>Teradyne</t>
  </si>
  <si>
    <t>TSLA</t>
  </si>
  <si>
    <t>Tesla, Inc.</t>
  </si>
  <si>
    <t>TXN</t>
  </si>
  <si>
    <t>Texas Instruments</t>
  </si>
  <si>
    <t>TXT</t>
  </si>
  <si>
    <t>Textron</t>
  </si>
  <si>
    <t>TMO</t>
  </si>
  <si>
    <t>Thermo Fisher Scientific</t>
  </si>
  <si>
    <t>TJX</t>
  </si>
  <si>
    <t>TJX Companies</t>
  </si>
  <si>
    <t>TSCO</t>
  </si>
  <si>
    <t>Tractor Supply</t>
  </si>
  <si>
    <t>Other Specialty Retail</t>
  </si>
  <si>
    <t>TT</t>
  </si>
  <si>
    <t>Trane Technologies</t>
  </si>
  <si>
    <t>TDG</t>
  </si>
  <si>
    <t>TransDigm Group</t>
  </si>
  <si>
    <t>TRV</t>
  </si>
  <si>
    <t>Travelers Companies (The)</t>
  </si>
  <si>
    <t>TRMB</t>
  </si>
  <si>
    <t>Trimble Inc.</t>
  </si>
  <si>
    <t>TFC</t>
  </si>
  <si>
    <t>Truist Financial</t>
  </si>
  <si>
    <t>TYL</t>
  </si>
  <si>
    <t>Tyler Technologies</t>
  </si>
  <si>
    <t>TSN</t>
  </si>
  <si>
    <t>Tyson Foods</t>
  </si>
  <si>
    <t>USB</t>
  </si>
  <si>
    <t>U.S. Bancorp</t>
  </si>
  <si>
    <t>UBER</t>
  </si>
  <si>
    <t>Uber</t>
  </si>
  <si>
    <t>Passenger Ground Transportation</t>
  </si>
  <si>
    <t>UDR</t>
  </si>
  <si>
    <t>UDR, Inc.</t>
  </si>
  <si>
    <t>ULTA</t>
  </si>
  <si>
    <t>Ulta Beauty</t>
  </si>
  <si>
    <t>UNP</t>
  </si>
  <si>
    <t>Union Pacific Corporation</t>
  </si>
  <si>
    <t>UAL</t>
  </si>
  <si>
    <t>United Airlines Holdings</t>
  </si>
  <si>
    <t>UPS</t>
  </si>
  <si>
    <t>United Parcel Service</t>
  </si>
  <si>
    <t>URI</t>
  </si>
  <si>
    <t>United Rentals</t>
  </si>
  <si>
    <t>UNH</t>
  </si>
  <si>
    <t>UnitedHealth Group</t>
  </si>
  <si>
    <t>UHS</t>
  </si>
  <si>
    <t>Universal Health Services</t>
  </si>
  <si>
    <t>VLO</t>
  </si>
  <si>
    <t>Valero Energy</t>
  </si>
  <si>
    <t>VTR</t>
  </si>
  <si>
    <t>Ventas</t>
  </si>
  <si>
    <t>VLTO</t>
  </si>
  <si>
    <t>Veralto</t>
  </si>
  <si>
    <t>VRSN</t>
  </si>
  <si>
    <t>Verisign</t>
  </si>
  <si>
    <t>VRSK</t>
  </si>
  <si>
    <t>Verisk Analytics</t>
  </si>
  <si>
    <t>VZ</t>
  </si>
  <si>
    <t>Verizon</t>
  </si>
  <si>
    <t>VRTX</t>
  </si>
  <si>
    <t>Vertex Pharmaceuticals</t>
  </si>
  <si>
    <t>VTRS</t>
  </si>
  <si>
    <t>Viatris</t>
  </si>
  <si>
    <t>VICI</t>
  </si>
  <si>
    <t>Vici Properties</t>
  </si>
  <si>
    <t>V</t>
  </si>
  <si>
    <t>Visa Inc.</t>
  </si>
  <si>
    <t>VST</t>
  </si>
  <si>
    <t>Vistra Corp.</t>
  </si>
  <si>
    <t>VMC</t>
  </si>
  <si>
    <t>Vulcan Materials Company</t>
  </si>
  <si>
    <t>WRB</t>
  </si>
  <si>
    <t>W. R. Berkley Corporation</t>
  </si>
  <si>
    <t>GWW</t>
  </si>
  <si>
    <t>W. W. Grainger</t>
  </si>
  <si>
    <t>WAB</t>
  </si>
  <si>
    <t>Wabtec</t>
  </si>
  <si>
    <t>WBA</t>
  </si>
  <si>
    <t>Walgreens Boots Alliance</t>
  </si>
  <si>
    <t>Drug Retail</t>
  </si>
  <si>
    <t>WMT</t>
  </si>
  <si>
    <t>Walmart</t>
  </si>
  <si>
    <t>DIS</t>
  </si>
  <si>
    <t>Walt Disney Company (The)</t>
  </si>
  <si>
    <t>WBD</t>
  </si>
  <si>
    <t>Warner Bros. Discovery</t>
  </si>
  <si>
    <t>WM</t>
  </si>
  <si>
    <t>Waste Management</t>
  </si>
  <si>
    <t>WAT</t>
  </si>
  <si>
    <t>Waters Corporation</t>
  </si>
  <si>
    <t>WEC</t>
  </si>
  <si>
    <t>WEC Energy Group</t>
  </si>
  <si>
    <t>WFC</t>
  </si>
  <si>
    <t>Wells Fargo</t>
  </si>
  <si>
    <t>WELL</t>
  </si>
  <si>
    <t>Welltower</t>
  </si>
  <si>
    <t>WST</t>
  </si>
  <si>
    <t>West Pharmaceutical Services</t>
  </si>
  <si>
    <t>WDC</t>
  </si>
  <si>
    <t>Western Digital</t>
  </si>
  <si>
    <t>WY</t>
  </si>
  <si>
    <t>Weyerhaeuser</t>
  </si>
  <si>
    <t>Timber REITs</t>
  </si>
  <si>
    <t>WMB</t>
  </si>
  <si>
    <t>Williams Companies</t>
  </si>
  <si>
    <t>WTW</t>
  </si>
  <si>
    <t>Willis Towers Watson</t>
  </si>
  <si>
    <t>WYNN</t>
  </si>
  <si>
    <t>Wynn Resorts</t>
  </si>
  <si>
    <t>XEL</t>
  </si>
  <si>
    <t>Xcel Energy</t>
  </si>
  <si>
    <t>XYL</t>
  </si>
  <si>
    <t>Xylem Inc.</t>
  </si>
  <si>
    <t>YUM</t>
  </si>
  <si>
    <t>Yum! Brands</t>
  </si>
  <si>
    <t>ZBRA</t>
  </si>
  <si>
    <t>Zebra Technologies</t>
  </si>
  <si>
    <t>ZBH</t>
  </si>
  <si>
    <t>Zimmer Biomet</t>
  </si>
  <si>
    <t>ZTS</t>
  </si>
  <si>
    <t>Zoetis</t>
  </si>
  <si>
    <t>Period</t>
  </si>
  <si>
    <t>Published / signed</t>
  </si>
  <si>
    <t>UNIVERSE</t>
  </si>
  <si>
    <t>UNKNOWN</t>
  </si>
  <si>
    <t>https://www.adobe.com/cc-shared/assets/investor-relations/pdfs/adbe-2025-annual-report.pdf</t>
  </si>
  <si>
    <t>2025-11-28</t>
  </si>
  <si>
    <t>2026-01-15</t>
  </si>
  <si>
    <t>ANNUAL FACTS / NEEDS QUARTERLY UPDATE</t>
  </si>
  <si>
    <t>https://www.sec.gov/Archives/edgar/data/1633917/000163391726000024/pypl-20251231.htm</t>
  </si>
  <si>
    <t>2025-12-31</t>
  </si>
  <si>
    <t>2026-02-03</t>
  </si>
  <si>
    <t>https://investors.nike.com/sec-filings/all-sec-filings/content/0000320187-26-000088/nke-20260531.htm</t>
  </si>
  <si>
    <t>2026-05-31</t>
  </si>
  <si>
    <t>2026-07-15</t>
  </si>
  <si>
    <t>MACRO</t>
  </si>
  <si>
    <t>https://www.federalreserve.gov/newsevents/pressreleases/monetary20261028a.htm</t>
  </si>
  <si>
    <t>2026-10-28</t>
  </si>
  <si>
    <t>Fed funds held 3.75–4.00%; not risk-free yield</t>
  </si>
  <si>
    <t>Period end</t>
  </si>
  <si>
    <t>Revenue</t>
  </si>
  <si>
    <t>Operating income</t>
  </si>
  <si>
    <t>Cash + ST inv.</t>
  </si>
  <si>
    <t>Debt</t>
  </si>
  <si>
    <t>Diluted shares</t>
  </si>
  <si>
    <t>Effective tax</t>
  </si>
  <si>
    <t>Драйвер / единицы</t>
  </si>
  <si>
    <t>Значение</t>
  </si>
  <si>
    <t>Классификация</t>
  </si>
  <si>
    <t>Revenue (USD mn)</t>
  </si>
  <si>
    <t>Annual report</t>
  </si>
  <si>
    <t>Annual growth</t>
  </si>
  <si>
    <t>Analyst assumption</t>
  </si>
  <si>
    <t>Operating margin</t>
  </si>
  <si>
    <t>Tax rate</t>
  </si>
  <si>
    <t>D&amp;A / revenue</t>
  </si>
  <si>
    <t>CapEx / revenue</t>
  </si>
  <si>
    <t>NWC / revenue</t>
  </si>
  <si>
    <t>WACC</t>
  </si>
  <si>
    <t>Scenario; not a measured CAPM WACC</t>
  </si>
  <si>
    <t>Terminal growth</t>
  </si>
  <si>
    <t>Diluted shares (mn)</t>
  </si>
  <si>
    <t>Annual weighted average</t>
  </si>
  <si>
    <t>Net debt (USD mn)</t>
  </si>
  <si>
    <t>Debt - cash - short-term investments</t>
  </si>
  <si>
    <t>Forecast / USD mn</t>
  </si>
  <si>
    <t>EBIT</t>
  </si>
  <si>
    <t>NOPAT</t>
  </si>
  <si>
    <t>D&amp;A</t>
  </si>
  <si>
    <t>CapEx</t>
  </si>
  <si>
    <t>Delta NWC</t>
  </si>
  <si>
    <t>FCFF</t>
  </si>
  <si>
    <t>PV FCFF</t>
  </si>
  <si>
    <t>FCFF year 6</t>
  </si>
  <si>
    <t>Terminal value</t>
  </si>
  <si>
    <t>PV terminal</t>
  </si>
  <si>
    <t>Enterprise value</t>
  </si>
  <si>
    <t>Equity value</t>
  </si>
  <si>
    <t>Fair value / share</t>
  </si>
  <si>
    <t>12m model target / share</t>
  </si>
  <si>
    <t>Terminal share / EV</t>
  </si>
  <si>
    <t>Model anchor FY</t>
  </si>
  <si>
    <t>Do not treat as 02 Nov target</t>
  </si>
  <si>
    <t>PRELIMINARY</t>
  </si>
  <si>
    <t>Model check</t>
  </si>
  <si>
    <t>WACC / g</t>
  </si>
  <si>
    <t>Market price input</t>
  </si>
  <si>
    <t>Implied growth</t>
  </si>
  <si>
    <t>Price not verified: blank</t>
  </si>
  <si>
    <t>Lower growth</t>
  </si>
  <si>
    <t>Upper growth</t>
  </si>
  <si>
    <t>Mid growth</t>
  </si>
  <si>
    <t>Model price</t>
  </si>
  <si>
    <t>SMA50</t>
  </si>
  <si>
    <t>SMA200</t>
  </si>
  <si>
    <t>Support</t>
  </si>
  <si>
    <t>Resistance</t>
  </si>
  <si>
    <t>Entry</t>
  </si>
  <si>
    <t>Exit</t>
  </si>
  <si>
    <t>Reason</t>
  </si>
  <si>
    <t>BLOCKED: no dated OHLCV. Never fabricate levels.</t>
  </si>
  <si>
    <t>Risk</t>
  </si>
  <si>
    <t>Probability</t>
  </si>
  <si>
    <t>Impact</t>
  </si>
  <si>
    <t>Invalidation trigger</t>
  </si>
  <si>
    <t>Замещение продукта AI-конкурентами</t>
  </si>
  <si>
    <t>Средняя — мнение аналитика</t>
  </si>
  <si>
    <t>Высокое; margin −3 п.п. в Bear</t>
  </si>
  <si>
    <t>Замедление роста подписок и снижение удержания</t>
  </si>
  <si>
    <t>Высокая чувствительность к ставке</t>
  </si>
  <si>
    <t>Средняя — сценарий</t>
  </si>
  <si>
    <t>WACC +1 п.п.; проверить sensitivity</t>
  </si>
  <si>
    <t>Устойчивое повышение долгосрочной доходности US Treasury</t>
  </si>
  <si>
    <t>Конкуренция в checkout</t>
  </si>
  <si>
    <t>Высокая — мнение аналитика</t>
  </si>
  <si>
    <t>Рост выручки −4 п.п. в Bear</t>
  </si>
  <si>
    <t>Ухудшение branded checkout и платёжной маржи</t>
  </si>
  <si>
    <t>Кредитный риск и BNPL</t>
  </si>
  <si>
    <t>Высокое; FCFF требует нормализации</t>
  </si>
  <si>
    <t>Рост потерь по кредитам или зависимость потока от продажи receivables</t>
  </si>
  <si>
    <t>Потребитель и тарифы</t>
  </si>
  <si>
    <t>Рост скидок и отсутствие восстановления валовой маржи</t>
  </si>
  <si>
    <t>Затяжное восстановление бренда</t>
  </si>
  <si>
    <t>Рост запасов быстрее выручки два квартала подряд</t>
  </si>
  <si>
    <t>Close 02 Nov</t>
  </si>
  <si>
    <t>12m model target</t>
  </si>
  <si>
    <t>Upside</t>
  </si>
  <si>
    <t>Weight</t>
  </si>
  <si>
    <t>Allocation USD</t>
  </si>
  <si>
    <t>Fair value today</t>
  </si>
  <si>
    <t>NOT-RATED</t>
  </si>
  <si>
    <t>TOTAL</t>
  </si>
  <si>
    <t>Weighted upside</t>
  </si>
  <si>
    <t>Check</t>
  </si>
  <si>
    <t>Result</t>
  </si>
  <si>
    <t>Explanation</t>
  </si>
  <si>
    <t>Sum weights</t>
  </si>
  <si>
    <t>Exactly 100%</t>
  </si>
  <si>
    <t>Capital</t>
  </si>
  <si>
    <t>$100,000</t>
  </si>
  <si>
    <t>3 reviewed Buy</t>
  </si>
  <si>
    <t>BLOCKED</t>
  </si>
  <si>
    <t>No analyst signoff</t>
  </si>
  <si>
    <t>Close 2026-11-02</t>
  </si>
  <si>
    <t>Future official close unavailable</t>
  </si>
  <si>
    <t>Eligibility</t>
  </si>
  <si>
    <t>Liquidity/history/segment evidence missing</t>
  </si>
  <si>
    <t>Technical analysis</t>
  </si>
  <si>
    <t>No dated OHLCV</t>
  </si>
  <si>
    <t>FINAL gate</t>
  </si>
  <si>
    <t>PRELIMINARY only</t>
  </si>
  <si>
    <t>id</t>
  </si>
  <si>
    <t>generatedAt</t>
  </si>
  <si>
    <t>2026-10-29T07:16:39.360Z</t>
  </si>
  <si>
    <t>cutoff</t>
  </si>
  <si>
    <t>modelVersion</t>
  </si>
  <si>
    <t>fcff-drivers-v1</t>
  </si>
  <si>
    <t>scoreVersion</t>
  </si>
  <si>
    <t>sector-value-v1</t>
  </si>
  <si>
    <t>sourceHash</t>
  </si>
  <si>
    <t>3777d2e495a9365bcd6998569215112469c5441a1edd9f20eb62512a7fcbf746</t>
  </si>
  <si>
    <t>status</t>
  </si>
  <si>
    <t>BLOCKER</t>
  </si>
  <si>
    <t>До закрытия 02.11.2026 конкурсные цены ещё недоступны.</t>
  </si>
  <si>
    <t>Не подтверждены 3-месячная ликвидность, история торгов и доли выручки запрещённых направлений.</t>
  </si>
  <si>
    <t>Три основных кандидата выбраны для исследования; нет трёх аналитически подтверждённых Buy.</t>
  </si>
  <si>
    <t>Годовые финансовые модели требуют сверки с последними кварталами и нормализации; PayPal BNPL требует отдельной проверки.</t>
  </si>
  <si>
    <t>Не загружена актуальная история OHLCV: технический анализ и вход/выход не финализированы.</t>
  </si>
  <si>
    <t>Общий набор: котировки без даты; провайдер Open Knowledge Foundation / datasets; upstream Yahoo Finance.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</si>
</sst>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3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17253D"/>
    </font>
  </fonts>
  <fills count="4">
    <fill>
      <patternFill patternType="none"/>
    </fill>
    <fill>
      <patternFill patternType="gray125"/>
    </fill>
    <fill>
      <patternFill patternType="solid">
        <fgColor rgb="FF17253D"/>
      </patternFill>
    </fill>
    <fill>
      <patternFill patternType="solid">
        <fgColor rgb="FFEF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2" fillId="3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10" fontId="0" fillId="0" borderId="0" xfId="0" applyNumberFormat="1" applyAlignment="1">
      <alignment vertical="top" wrapText="1"/>
    </xf>
    <xf numFmtId="164" fontId="0" fillId="0" borderId="0" xfId="0" applyNumberFormat="1" applyAlignment="1">
      <alignment vertical="top" wrapText="1"/>
    </xf>
    <xf numFmtId="2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105" customWidth="1"/>
    <col min="3" max="12" width="21" customWidth="1"/>
  </cols>
  <sheetData>
    <row r="1" ht="25" customHeight="1" spans="1:1" s="1" customFormat="1" x14ac:dyDescent="0.25">
      <c r="A1" s="1" t="s">
        <v>0</v>
      </c>
    </row>
    <row r="2" spans="1:2" s="2" customFormat="1" x14ac:dyDescent="0.25">
      <c r="A2" s="3" t="s">
        <v>1</v>
      </c>
      <c r="B2" s="3" t="s">
        <v>2</v>
      </c>
    </row>
    <row r="3" spans="1:2" x14ac:dyDescent="0.25">
      <c r="A3" s="4" t="s">
        <v>3</v>
      </c>
      <c r="B3" s="4" t="s">
        <v>4</v>
      </c>
    </row>
    <row r="4" spans="1:2" x14ac:dyDescent="0.25">
      <c r="A4" s="4" t="s">
        <v>5</v>
      </c>
      <c r="B4" s="4" t="s">
        <v>6</v>
      </c>
    </row>
    <row r="5" spans="1:2" x14ac:dyDescent="0.25">
      <c r="A5" s="4" t="s">
        <v>7</v>
      </c>
      <c r="B5" s="4" t="s">
        <v>8</v>
      </c>
    </row>
    <row r="6" spans="1:2" x14ac:dyDescent="0.25">
      <c r="A6" s="4" t="s">
        <v>9</v>
      </c>
      <c r="B6" s="4" t="s">
        <v>10</v>
      </c>
    </row>
    <row r="7" spans="1:2" x14ac:dyDescent="0.25">
      <c r="A7" s="4" t="s">
        <v>11</v>
      </c>
      <c r="B7" s="4" t="s">
        <v>12</v>
      </c>
    </row>
    <row r="8" spans="1:2" x14ac:dyDescent="0.25">
      <c r="A8" s="4" t="s">
        <v>13</v>
      </c>
      <c r="B8" s="4" t="s">
        <v>14</v>
      </c>
    </row>
    <row r="9" spans="1:2" x14ac:dyDescent="0.25">
      <c r="A9" s="4" t="s">
        <v>15</v>
      </c>
      <c r="B9" s="4" t="s">
        <v>16</v>
      </c>
    </row>
    <row r="10" spans="1:2" x14ac:dyDescent="0.25">
      <c r="A10" s="4" t="s">
        <v>17</v>
      </c>
      <c r="B10" s="4" t="s">
        <v>18</v>
      </c>
    </row>
    <row r="11" spans="1:2" x14ac:dyDescent="0.25">
      <c r="A11" s="4" t="s">
        <v>19</v>
      </c>
      <c r="B11" s="4" t="s">
        <v>20</v>
      </c>
    </row>
    <row r="12" spans="1:2" x14ac:dyDescent="0.25">
      <c r="A12" s="4" t="s">
        <v>21</v>
      </c>
      <c r="B12" s="4" t="s">
        <v>22</v>
      </c>
    </row>
    <row r="13" spans="1:2" x14ac:dyDescent="0.25">
      <c r="A13" s="4" t="s">
        <v>23</v>
      </c>
      <c r="B13" s="4" t="s">
        <v>24</v>
      </c>
    </row>
    <row r="14" spans="1:2" x14ac:dyDescent="0.25">
      <c r="A14" s="4" t="s">
        <v>25</v>
      </c>
      <c r="B14" s="4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5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12" width="21" customWidth="1"/>
  </cols>
  <sheetData>
    <row r="1" ht="25" customHeight="1" spans="1:1" s="1" customFormat="1" x14ac:dyDescent="0.25">
      <c r="A1" s="1" t="s">
        <v>0</v>
      </c>
    </row>
    <row r="2" spans="1:10" s="2" customFormat="1" x14ac:dyDescent="0.25">
      <c r="A2" s="3" t="s">
        <v>27</v>
      </c>
      <c r="B2" s="3" t="s">
        <v>28</v>
      </c>
      <c r="C2" s="3" t="s">
        <v>29</v>
      </c>
      <c r="D2" s="3" t="s">
        <v>30</v>
      </c>
      <c r="E2" s="3" t="s">
        <v>31</v>
      </c>
      <c r="F2" s="3" t="s">
        <v>32</v>
      </c>
      <c r="G2" s="3" t="s">
        <v>33</v>
      </c>
      <c r="H2" s="3" t="s">
        <v>34</v>
      </c>
      <c r="I2" s="3" t="s">
        <v>35</v>
      </c>
      <c r="J2" s="3" t="s">
        <v>36</v>
      </c>
    </row>
    <row r="3" spans="1:10" x14ac:dyDescent="0.25">
      <c r="A3" s="4" t="s">
        <v>37</v>
      </c>
      <c r="B3" s="4" t="s">
        <v>38</v>
      </c>
      <c r="C3" s="4" t="s">
        <v>39</v>
      </c>
      <c r="D3" s="4">
        <v>172.8</v>
      </c>
      <c r="E3" s="4">
        <v>89116835840</v>
      </c>
      <c r="F3" s="4">
        <v>25.6</v>
      </c>
      <c r="G3" s="4">
        <v>6497999872</v>
      </c>
      <c r="I3" s="4" t="s">
        <v>40</v>
      </c>
      <c r="J3" s="4" t="s">
        <v>41</v>
      </c>
    </row>
    <row r="4" spans="1:10" x14ac:dyDescent="0.25">
      <c r="A4" s="4" t="s">
        <v>42</v>
      </c>
      <c r="B4" s="4" t="s">
        <v>43</v>
      </c>
      <c r="C4" s="4" t="s">
        <v>44</v>
      </c>
      <c r="D4" s="4">
        <v>60.86</v>
      </c>
      <c r="E4" s="4">
        <v>8271395840</v>
      </c>
      <c r="F4" s="4">
        <v>16.952646</v>
      </c>
      <c r="G4" s="4">
        <v>783699968</v>
      </c>
      <c r="H4" s="4">
        <v>81</v>
      </c>
      <c r="I4" s="4" t="s">
        <v>40</v>
      </c>
      <c r="J4" s="4" t="s">
        <v>41</v>
      </c>
    </row>
    <row r="5" spans="1:10" x14ac:dyDescent="0.25">
      <c r="A5" s="4" t="s">
        <v>45</v>
      </c>
      <c r="B5" s="4" t="s">
        <v>46</v>
      </c>
      <c r="C5" s="4" t="s">
        <v>47</v>
      </c>
      <c r="D5" s="4">
        <v>102.64</v>
      </c>
      <c r="E5" s="4">
        <v>178779701248</v>
      </c>
      <c r="F5" s="4">
        <v>38.298508</v>
      </c>
      <c r="G5" s="4">
        <v>11953999872</v>
      </c>
      <c r="H5" s="4">
        <v>45</v>
      </c>
      <c r="I5" s="4" t="s">
        <v>40</v>
      </c>
      <c r="J5" s="4" t="s">
        <v>41</v>
      </c>
    </row>
    <row r="6" spans="1:10" x14ac:dyDescent="0.25">
      <c r="A6" s="4" t="s">
        <v>48</v>
      </c>
      <c r="B6" s="4" t="s">
        <v>49</v>
      </c>
      <c r="C6" s="4" t="s">
        <v>50</v>
      </c>
      <c r="D6" s="4">
        <v>285.99</v>
      </c>
      <c r="E6" s="4">
        <v>505377849344</v>
      </c>
      <c r="F6" s="4">
        <v>80.78813</v>
      </c>
      <c r="G6" s="4">
        <v>30762999808</v>
      </c>
      <c r="H6" s="4">
        <v>22</v>
      </c>
      <c r="I6" s="4" t="s">
        <v>40</v>
      </c>
      <c r="J6" s="4" t="s">
        <v>41</v>
      </c>
    </row>
    <row r="7" spans="1:10" x14ac:dyDescent="0.25">
      <c r="A7" s="4" t="s">
        <v>51</v>
      </c>
      <c r="B7" s="4" t="s">
        <v>52</v>
      </c>
      <c r="C7" s="4" t="s">
        <v>53</v>
      </c>
      <c r="D7" s="4">
        <v>243.4</v>
      </c>
      <c r="E7" s="4">
        <v>148946698240</v>
      </c>
      <c r="F7" s="4">
        <v>17.336182</v>
      </c>
      <c r="G7" s="4">
        <v>13419352064</v>
      </c>
      <c r="H7" s="4">
        <v>54</v>
      </c>
      <c r="I7" s="4" t="s">
        <v>40</v>
      </c>
      <c r="J7" s="4" t="s">
        <v>41</v>
      </c>
    </row>
    <row r="8" spans="1:10" x14ac:dyDescent="0.25">
      <c r="A8" s="4" t="s">
        <v>54</v>
      </c>
      <c r="B8" s="4" t="s">
        <v>55</v>
      </c>
      <c r="C8" s="4" t="s">
        <v>56</v>
      </c>
      <c r="D8" s="4">
        <v>249.76</v>
      </c>
      <c r="E8" s="4">
        <v>97206591488</v>
      </c>
      <c r="F8" s="4">
        <v>13.86785</v>
      </c>
      <c r="G8" s="4">
        <v>9916999680</v>
      </c>
      <c r="H8" s="4">
        <v>95</v>
      </c>
      <c r="I8" s="4" t="s">
        <v>40</v>
      </c>
      <c r="J8" s="4" t="s">
        <v>41</v>
      </c>
    </row>
    <row r="9" spans="1:10" x14ac:dyDescent="0.25">
      <c r="A9" s="4" t="s">
        <v>57</v>
      </c>
      <c r="B9" s="4" t="s">
        <v>58</v>
      </c>
      <c r="C9" s="4" t="s">
        <v>59</v>
      </c>
      <c r="D9" s="4">
        <v>578.44</v>
      </c>
      <c r="E9" s="4">
        <v>944288825344</v>
      </c>
      <c r="F9" s="4">
        <v>147.56122</v>
      </c>
      <c r="G9" s="4">
        <v>9562000384</v>
      </c>
      <c r="H9" s="4">
        <v>4</v>
      </c>
      <c r="I9" s="4" t="s">
        <v>40</v>
      </c>
      <c r="J9" s="4" t="s">
        <v>41</v>
      </c>
    </row>
    <row r="10" spans="1:10" x14ac:dyDescent="0.25">
      <c r="A10" s="4" t="s">
        <v>60</v>
      </c>
      <c r="B10" s="4" t="s">
        <v>61</v>
      </c>
      <c r="C10" s="4" t="s">
        <v>62</v>
      </c>
      <c r="D10" s="4">
        <v>14.98</v>
      </c>
      <c r="E10" s="4">
        <v>10683102208</v>
      </c>
      <c r="F10" s="4">
        <v>5.6315784</v>
      </c>
      <c r="G10" s="4">
        <v>4070000128</v>
      </c>
      <c r="I10" s="4" t="s">
        <v>40</v>
      </c>
      <c r="J10" s="4" t="s">
        <v>41</v>
      </c>
    </row>
    <row r="11" spans="1:10" x14ac:dyDescent="0.25">
      <c r="A11" s="4" t="s">
        <v>63</v>
      </c>
      <c r="B11" s="4" t="s">
        <v>64</v>
      </c>
      <c r="C11" s="4" t="s">
        <v>65</v>
      </c>
      <c r="D11" s="4">
        <v>121.75</v>
      </c>
      <c r="E11" s="4">
        <v>61038546944</v>
      </c>
      <c r="F11" s="4">
        <v>13.119613</v>
      </c>
      <c r="G11" s="4">
        <v>6064999936</v>
      </c>
      <c r="I11" s="4" t="s">
        <v>40</v>
      </c>
      <c r="J11" s="4" t="s">
        <v>41</v>
      </c>
    </row>
    <row r="12" spans="1:10" x14ac:dyDescent="0.25">
      <c r="A12" s="4" t="s">
        <v>66</v>
      </c>
      <c r="B12" s="4" t="s">
        <v>67</v>
      </c>
      <c r="C12" s="4" t="s">
        <v>68</v>
      </c>
      <c r="D12" s="4">
        <v>181.48</v>
      </c>
      <c r="E12" s="4">
        <v>51164450816</v>
      </c>
      <c r="F12" s="4">
        <v>35.034748</v>
      </c>
      <c r="G12" s="4">
        <v>2080000000</v>
      </c>
      <c r="H12" s="4">
        <v>67</v>
      </c>
      <c r="I12" s="4" t="s">
        <v>40</v>
      </c>
      <c r="J12" s="4" t="s">
        <v>41</v>
      </c>
    </row>
    <row r="13" spans="1:10" x14ac:dyDescent="0.25">
      <c r="A13" s="4" t="s">
        <v>69</v>
      </c>
      <c r="B13" s="4" t="s">
        <v>70</v>
      </c>
      <c r="C13" s="4" t="s">
        <v>71</v>
      </c>
      <c r="D13" s="4">
        <v>307.2</v>
      </c>
      <c r="E13" s="4">
        <v>68408999936</v>
      </c>
      <c r="G13" s="4">
        <v>4652199936</v>
      </c>
      <c r="I13" s="4" t="s">
        <v>40</v>
      </c>
      <c r="J13" s="4" t="s">
        <v>41</v>
      </c>
    </row>
    <row r="14" spans="1:10" x14ac:dyDescent="0.25">
      <c r="A14" s="4" t="s">
        <v>72</v>
      </c>
      <c r="B14" s="4" t="s">
        <v>73</v>
      </c>
      <c r="C14" s="4" t="s">
        <v>74</v>
      </c>
      <c r="D14" s="4">
        <v>166.045</v>
      </c>
      <c r="E14" s="4">
        <v>99425361920</v>
      </c>
      <c r="F14" s="4">
        <v>38.43634</v>
      </c>
      <c r="G14" s="4">
        <v>2760999936</v>
      </c>
      <c r="H14" s="4">
        <v>21</v>
      </c>
      <c r="I14" s="4" t="s">
        <v>40</v>
      </c>
      <c r="J14" s="4" t="s">
        <v>41</v>
      </c>
    </row>
    <row r="15" spans="1:10" x14ac:dyDescent="0.25">
      <c r="A15" s="4" t="s">
        <v>75</v>
      </c>
      <c r="B15" s="4" t="s">
        <v>76</v>
      </c>
      <c r="C15" s="4" t="s">
        <v>77</v>
      </c>
      <c r="D15" s="4">
        <v>98.1</v>
      </c>
      <c r="E15" s="4">
        <v>14098598912</v>
      </c>
      <c r="F15" s="4">
        <v>36.066177</v>
      </c>
      <c r="G15" s="4">
        <v>1079897984</v>
      </c>
      <c r="I15" s="4" t="s">
        <v>40</v>
      </c>
      <c r="J15" s="4" t="s">
        <v>41</v>
      </c>
    </row>
    <row r="16" spans="1:10" x14ac:dyDescent="0.25">
      <c r="A16" s="4" t="s">
        <v>78</v>
      </c>
      <c r="B16" s="4" t="s">
        <v>79</v>
      </c>
      <c r="C16" s="4" t="s">
        <v>80</v>
      </c>
      <c r="D16" s="4">
        <v>96.96</v>
      </c>
      <c r="E16" s="4">
        <v>11441770496</v>
      </c>
      <c r="F16" s="4">
        <v>372.9231</v>
      </c>
      <c r="G16" s="4">
        <v>1482468992</v>
      </c>
      <c r="H16" s="4">
        <v>36</v>
      </c>
      <c r="I16" s="4" t="s">
        <v>40</v>
      </c>
      <c r="J16" s="4" t="s">
        <v>41</v>
      </c>
    </row>
    <row r="17" spans="1:10" x14ac:dyDescent="0.25">
      <c r="A17" s="4" t="s">
        <v>81</v>
      </c>
      <c r="B17" s="4" t="s">
        <v>82</v>
      </c>
      <c r="C17" s="4" t="s">
        <v>83</v>
      </c>
      <c r="D17" s="4">
        <v>39.91</v>
      </c>
      <c r="E17" s="4">
        <v>6950751232</v>
      </c>
      <c r="G17" s="4">
        <v>1698887936</v>
      </c>
      <c r="I17" s="4" t="s">
        <v>40</v>
      </c>
      <c r="J17" s="4" t="s">
        <v>41</v>
      </c>
    </row>
    <row r="18" spans="1:10" x14ac:dyDescent="0.25">
      <c r="A18" s="4" t="s">
        <v>84</v>
      </c>
      <c r="B18" s="4" t="s">
        <v>85</v>
      </c>
      <c r="C18" s="4" t="s">
        <v>86</v>
      </c>
      <c r="D18" s="4">
        <v>153.62</v>
      </c>
      <c r="E18" s="4">
        <v>10913142784</v>
      </c>
      <c r="F18" s="4">
        <v>26.440619</v>
      </c>
      <c r="G18" s="4">
        <v>925662016</v>
      </c>
      <c r="I18" s="4" t="s">
        <v>40</v>
      </c>
      <c r="J18" s="4" t="s">
        <v>41</v>
      </c>
    </row>
    <row r="19" spans="1:10" x14ac:dyDescent="0.25">
      <c r="A19" s="4" t="s">
        <v>87</v>
      </c>
      <c r="B19" s="4" t="s">
        <v>88</v>
      </c>
      <c r="C19" s="4" t="s">
        <v>44</v>
      </c>
      <c r="D19" s="4">
        <v>180.66</v>
      </c>
      <c r="E19" s="4">
        <v>15362745344</v>
      </c>
      <c r="F19" s="4">
        <v>22.47015</v>
      </c>
      <c r="G19" s="4">
        <v>1099000064</v>
      </c>
      <c r="H19" s="4">
        <v>59</v>
      </c>
      <c r="I19" s="4" t="s">
        <v>40</v>
      </c>
      <c r="J19" s="4" t="s">
        <v>41</v>
      </c>
    </row>
    <row r="20" spans="1:10" x14ac:dyDescent="0.25">
      <c r="A20" s="4" t="s">
        <v>89</v>
      </c>
      <c r="B20" s="4" t="s">
        <v>90</v>
      </c>
      <c r="C20" s="4" t="s">
        <v>91</v>
      </c>
      <c r="D20" s="4">
        <v>69.37</v>
      </c>
      <c r="E20" s="4">
        <v>17986580480</v>
      </c>
      <c r="F20" s="4">
        <v>21.543478</v>
      </c>
      <c r="G20" s="4">
        <v>1828999936</v>
      </c>
      <c r="H20" s="4">
        <v>38</v>
      </c>
      <c r="I20" s="4" t="s">
        <v>40</v>
      </c>
      <c r="J20" s="4" t="s">
        <v>41</v>
      </c>
    </row>
    <row r="21" spans="1:10" x14ac:dyDescent="0.25">
      <c r="A21" s="4" t="s">
        <v>92</v>
      </c>
      <c r="B21" s="4" t="s">
        <v>93</v>
      </c>
      <c r="C21" s="4" t="s">
        <v>94</v>
      </c>
      <c r="D21" s="4">
        <v>250.2</v>
      </c>
      <c r="E21" s="4">
        <v>63265058816</v>
      </c>
      <c r="F21" s="4">
        <v>5.0060024</v>
      </c>
      <c r="G21" s="4">
        <v>17116000256</v>
      </c>
      <c r="I21" s="4" t="s">
        <v>40</v>
      </c>
      <c r="J21" s="4" t="s">
        <v>41</v>
      </c>
    </row>
    <row r="22" spans="1:10" x14ac:dyDescent="0.25">
      <c r="A22" s="4" t="s">
        <v>95</v>
      </c>
      <c r="B22" s="4" t="s">
        <v>96</v>
      </c>
      <c r="C22" s="4" t="s">
        <v>97</v>
      </c>
      <c r="D22" s="4">
        <v>324.89</v>
      </c>
      <c r="E22" s="4">
        <v>3973383716864</v>
      </c>
      <c r="F22" s="4">
        <v>16.083664</v>
      </c>
      <c r="G22" s="4">
        <v>173164003328</v>
      </c>
      <c r="I22" s="4" t="s">
        <v>40</v>
      </c>
      <c r="J22" s="4" t="s">
        <v>41</v>
      </c>
    </row>
    <row r="23" spans="1:10" x14ac:dyDescent="0.25">
      <c r="A23" s="4" t="s">
        <v>98</v>
      </c>
      <c r="B23" s="4" t="s">
        <v>99</v>
      </c>
      <c r="C23" s="4" t="s">
        <v>97</v>
      </c>
      <c r="D23" s="4">
        <v>321.89</v>
      </c>
      <c r="E23" s="4">
        <v>3936694042624</v>
      </c>
      <c r="F23" s="4">
        <v>15.895803</v>
      </c>
      <c r="G23" s="4">
        <v>173164003328</v>
      </c>
      <c r="I23" s="4" t="s">
        <v>40</v>
      </c>
      <c r="J23" s="4" t="s">
        <v>41</v>
      </c>
    </row>
    <row r="24" spans="1:10" x14ac:dyDescent="0.25">
      <c r="A24" s="4" t="s">
        <v>100</v>
      </c>
      <c r="B24" s="4" t="s">
        <v>101</v>
      </c>
      <c r="C24" s="4" t="s">
        <v>102</v>
      </c>
      <c r="D24" s="4">
        <v>72.99</v>
      </c>
      <c r="E24" s="4">
        <v>121874604032</v>
      </c>
      <c r="F24" s="4">
        <v>15.463984</v>
      </c>
      <c r="G24" s="4">
        <v>12769999872</v>
      </c>
      <c r="I24" s="4" t="s">
        <v>40</v>
      </c>
      <c r="J24" s="4" t="s">
        <v>41</v>
      </c>
    </row>
    <row r="25" spans="1:10" x14ac:dyDescent="0.25">
      <c r="A25" s="4" t="s">
        <v>103</v>
      </c>
      <c r="B25" s="4" t="s">
        <v>104</v>
      </c>
      <c r="C25" s="4" t="s">
        <v>105</v>
      </c>
      <c r="D25" s="4">
        <v>254.6</v>
      </c>
      <c r="E25" s="4">
        <v>2746195378176</v>
      </c>
      <c r="F25" s="4">
        <v>20.482702</v>
      </c>
      <c r="G25" s="4">
        <v>168911994880</v>
      </c>
      <c r="I25" s="4" t="s">
        <v>40</v>
      </c>
      <c r="J25" s="4" t="s">
        <v>41</v>
      </c>
    </row>
    <row r="26" spans="1:10" x14ac:dyDescent="0.25">
      <c r="A26" s="4" t="s">
        <v>106</v>
      </c>
      <c r="B26" s="4" t="s">
        <v>107</v>
      </c>
      <c r="C26" s="4" t="s">
        <v>108</v>
      </c>
      <c r="D26" s="4">
        <v>45.66</v>
      </c>
      <c r="E26" s="4">
        <v>21092440064</v>
      </c>
      <c r="F26" s="4">
        <v>19.184874</v>
      </c>
      <c r="G26" s="4">
        <v>3536000000</v>
      </c>
      <c r="I26" s="4" t="s">
        <v>40</v>
      </c>
      <c r="J26" s="4" t="s">
        <v>41</v>
      </c>
    </row>
    <row r="27" spans="1:10" x14ac:dyDescent="0.25">
      <c r="A27" s="4" t="s">
        <v>109</v>
      </c>
      <c r="B27" s="4" t="s">
        <v>110</v>
      </c>
      <c r="C27" s="4" t="s">
        <v>111</v>
      </c>
      <c r="D27" s="4">
        <v>21.69</v>
      </c>
      <c r="E27" s="4">
        <v>5303344128</v>
      </c>
      <c r="F27" s="4">
        <v>26.132532</v>
      </c>
      <c r="G27" s="4">
        <v>1006000000</v>
      </c>
      <c r="I27" s="4" t="s">
        <v>40</v>
      </c>
      <c r="J27" s="4" t="s">
        <v>41</v>
      </c>
    </row>
    <row r="28" spans="1:10" x14ac:dyDescent="0.25">
      <c r="A28" s="4" t="s">
        <v>112</v>
      </c>
      <c r="B28" s="4" t="s">
        <v>113</v>
      </c>
      <c r="C28" s="4" t="s">
        <v>114</v>
      </c>
      <c r="D28" s="4">
        <v>108</v>
      </c>
      <c r="E28" s="4">
        <v>29899071488</v>
      </c>
      <c r="F28" s="4">
        <v>19.148937</v>
      </c>
      <c r="G28" s="4">
        <v>3910000128</v>
      </c>
      <c r="H28" s="4">
        <v>57</v>
      </c>
      <c r="I28" s="4" t="s">
        <v>40</v>
      </c>
      <c r="J28" s="4" t="s">
        <v>41</v>
      </c>
    </row>
    <row r="29" spans="1:10" x14ac:dyDescent="0.25">
      <c r="A29" s="4" t="s">
        <v>115</v>
      </c>
      <c r="B29" s="4" t="s">
        <v>116</v>
      </c>
      <c r="C29" s="4" t="s">
        <v>91</v>
      </c>
      <c r="D29" s="4">
        <v>128.2</v>
      </c>
      <c r="E29" s="4">
        <v>69791744000</v>
      </c>
      <c r="F29" s="4">
        <v>22.21837</v>
      </c>
      <c r="G29" s="4">
        <v>9029000192</v>
      </c>
      <c r="H29" s="4">
        <v>33</v>
      </c>
      <c r="I29" s="4" t="s">
        <v>40</v>
      </c>
      <c r="J29" s="4" t="s">
        <v>41</v>
      </c>
    </row>
    <row r="30" spans="1:10" x14ac:dyDescent="0.25">
      <c r="A30" s="4" t="s">
        <v>117</v>
      </c>
      <c r="B30" s="4" t="s">
        <v>118</v>
      </c>
      <c r="C30" s="4" t="s">
        <v>119</v>
      </c>
      <c r="D30" s="4">
        <v>317.94</v>
      </c>
      <c r="E30" s="4">
        <v>213195309056</v>
      </c>
      <c r="F30" s="4">
        <v>17.624168</v>
      </c>
      <c r="I30" s="4" t="s">
        <v>40</v>
      </c>
      <c r="J30" s="4" t="s">
        <v>41</v>
      </c>
    </row>
    <row r="31" spans="1:10" x14ac:dyDescent="0.25">
      <c r="A31" s="4" t="s">
        <v>120</v>
      </c>
      <c r="B31" s="4" t="s">
        <v>121</v>
      </c>
      <c r="C31" s="4" t="s">
        <v>122</v>
      </c>
      <c r="D31" s="4">
        <v>79.88</v>
      </c>
      <c r="E31" s="4">
        <v>41768706048</v>
      </c>
      <c r="F31" s="4">
        <v>14.576642</v>
      </c>
      <c r="G31" s="4">
        <v>8145999872</v>
      </c>
      <c r="I31" s="4" t="s">
        <v>40</v>
      </c>
      <c r="J31" s="4" t="s">
        <v>41</v>
      </c>
    </row>
    <row r="32" spans="1:10" x14ac:dyDescent="0.25">
      <c r="A32" s="4" t="s">
        <v>123</v>
      </c>
      <c r="B32" s="4" t="s">
        <v>124</v>
      </c>
      <c r="C32" s="4" t="s">
        <v>125</v>
      </c>
      <c r="D32" s="4">
        <v>183.75</v>
      </c>
      <c r="E32" s="4">
        <v>85620162560</v>
      </c>
      <c r="F32" s="4">
        <v>25.880281</v>
      </c>
      <c r="G32" s="4">
        <v>7025900032</v>
      </c>
      <c r="I32" s="4" t="s">
        <v>40</v>
      </c>
      <c r="J32" s="4" t="s">
        <v>41</v>
      </c>
    </row>
    <row r="33" spans="1:10" x14ac:dyDescent="0.25">
      <c r="A33" s="4" t="s">
        <v>126</v>
      </c>
      <c r="B33" s="4" t="s">
        <v>127</v>
      </c>
      <c r="C33" s="4" t="s">
        <v>128</v>
      </c>
      <c r="D33" s="4">
        <v>139.79</v>
      </c>
      <c r="E33" s="4">
        <v>27780325376</v>
      </c>
      <c r="F33" s="4">
        <v>24.43881</v>
      </c>
      <c r="G33" s="4">
        <v>2912999936</v>
      </c>
      <c r="I33" s="4" t="s">
        <v>40</v>
      </c>
      <c r="J33" s="4" t="s">
        <v>41</v>
      </c>
    </row>
    <row r="34" spans="1:10" x14ac:dyDescent="0.25">
      <c r="A34" s="4" t="s">
        <v>129</v>
      </c>
      <c r="B34" s="4" t="s">
        <v>130</v>
      </c>
      <c r="C34" s="4" t="s">
        <v>131</v>
      </c>
      <c r="D34" s="4">
        <v>489.8</v>
      </c>
      <c r="E34" s="4">
        <v>43298320384</v>
      </c>
      <c r="F34" s="4">
        <v>11.825206</v>
      </c>
      <c r="I34" s="4" t="s">
        <v>40</v>
      </c>
      <c r="J34" s="4" t="s">
        <v>41</v>
      </c>
    </row>
    <row r="35" spans="1:10" x14ac:dyDescent="0.25">
      <c r="A35" s="4" t="s">
        <v>132</v>
      </c>
      <c r="B35" s="4" t="s">
        <v>133</v>
      </c>
      <c r="C35" s="4" t="s">
        <v>134</v>
      </c>
      <c r="D35" s="4">
        <v>248.13</v>
      </c>
      <c r="E35" s="4">
        <v>56872144896</v>
      </c>
      <c r="F35" s="4">
        <v>36.276318</v>
      </c>
      <c r="G35" s="4">
        <v>2500681984</v>
      </c>
      <c r="H35" s="4">
        <v>74</v>
      </c>
      <c r="I35" s="4" t="s">
        <v>40</v>
      </c>
      <c r="J35" s="4" t="s">
        <v>41</v>
      </c>
    </row>
    <row r="36" spans="1:10" x14ac:dyDescent="0.25">
      <c r="A36" s="4" t="s">
        <v>135</v>
      </c>
      <c r="B36" s="4" t="s">
        <v>136</v>
      </c>
      <c r="C36" s="4" t="s">
        <v>50</v>
      </c>
      <c r="D36" s="4">
        <v>451.83</v>
      </c>
      <c r="E36" s="4">
        <v>244273741824</v>
      </c>
      <c r="F36" s="4">
        <v>27.822044</v>
      </c>
      <c r="G36" s="4">
        <v>17268000768</v>
      </c>
      <c r="H36" s="4">
        <v>58</v>
      </c>
      <c r="I36" s="4" t="s">
        <v>40</v>
      </c>
      <c r="J36" s="4" t="s">
        <v>41</v>
      </c>
    </row>
    <row r="37" spans="1:10" x14ac:dyDescent="0.25">
      <c r="A37" s="4" t="s">
        <v>137</v>
      </c>
      <c r="B37" s="4" t="s">
        <v>138</v>
      </c>
      <c r="C37" s="4" t="s">
        <v>139</v>
      </c>
      <c r="D37" s="4">
        <v>80.96</v>
      </c>
      <c r="E37" s="4">
        <v>199644676096</v>
      </c>
      <c r="F37" s="4">
        <v>39.11111</v>
      </c>
      <c r="G37" s="4">
        <v>9463700480</v>
      </c>
      <c r="I37" s="4" t="s">
        <v>40</v>
      </c>
      <c r="J37" s="4" t="s">
        <v>41</v>
      </c>
    </row>
    <row r="38" spans="1:10" x14ac:dyDescent="0.25">
      <c r="A38" s="4" t="s">
        <v>140</v>
      </c>
      <c r="B38" s="4" t="s">
        <v>141</v>
      </c>
      <c r="C38" s="4" t="s">
        <v>59</v>
      </c>
      <c r="D38" s="4">
        <v>428.27</v>
      </c>
      <c r="E38" s="4">
        <v>207524855808</v>
      </c>
      <c r="F38" s="4">
        <v>50.50354</v>
      </c>
      <c r="G38" s="4">
        <v>6922700800</v>
      </c>
      <c r="H38" s="4">
        <v>29</v>
      </c>
      <c r="I38" s="4" t="s">
        <v>40</v>
      </c>
      <c r="J38" s="4" t="s">
        <v>41</v>
      </c>
    </row>
    <row r="39" spans="1:10" x14ac:dyDescent="0.25">
      <c r="A39" s="4" t="s">
        <v>142</v>
      </c>
      <c r="B39" s="4" t="s">
        <v>143</v>
      </c>
      <c r="C39" s="4" t="s">
        <v>56</v>
      </c>
      <c r="I39" s="4" t="s">
        <v>40</v>
      </c>
      <c r="J39" s="4" t="s">
        <v>41</v>
      </c>
    </row>
    <row r="40" spans="1:10" x14ac:dyDescent="0.25">
      <c r="A40" s="4" t="s">
        <v>144</v>
      </c>
      <c r="B40" s="4" t="s">
        <v>145</v>
      </c>
      <c r="C40" s="4" t="s">
        <v>146</v>
      </c>
      <c r="D40" s="4">
        <v>315.72</v>
      </c>
      <c r="E40" s="4">
        <v>66972246016</v>
      </c>
      <c r="F40" s="4">
        <v>17.40463</v>
      </c>
      <c r="G40" s="4">
        <v>5900000256</v>
      </c>
      <c r="I40" s="4" t="s">
        <v>40</v>
      </c>
      <c r="J40" s="4" t="s">
        <v>41</v>
      </c>
    </row>
    <row r="41" spans="1:10" x14ac:dyDescent="0.25">
      <c r="A41" s="4" t="s">
        <v>147</v>
      </c>
      <c r="B41" s="4" t="s">
        <v>148</v>
      </c>
      <c r="C41" s="4" t="s">
        <v>149</v>
      </c>
      <c r="D41" s="4">
        <v>51.11</v>
      </c>
      <c r="E41" s="4">
        <v>17906466816</v>
      </c>
      <c r="F41" s="4">
        <v>10.805497</v>
      </c>
      <c r="G41" s="4">
        <v>5720000000</v>
      </c>
      <c r="H41" s="4">
        <v>93</v>
      </c>
      <c r="I41" s="4" t="s">
        <v>40</v>
      </c>
      <c r="J41" s="4" t="s">
        <v>41</v>
      </c>
    </row>
    <row r="42" spans="1:10" x14ac:dyDescent="0.25">
      <c r="A42" s="4" t="s">
        <v>150</v>
      </c>
      <c r="B42" s="4" t="s">
        <v>151</v>
      </c>
      <c r="C42" s="4" t="s">
        <v>152</v>
      </c>
      <c r="D42" s="4">
        <v>343.83</v>
      </c>
      <c r="E42" s="4">
        <v>5017916932096</v>
      </c>
      <c r="F42" s="4">
        <v>39.795135</v>
      </c>
      <c r="G42" s="4">
        <v>167959003136</v>
      </c>
      <c r="H42" s="4">
        <v>19</v>
      </c>
      <c r="I42" s="4" t="s">
        <v>40</v>
      </c>
      <c r="J42" s="4" t="s">
        <v>41</v>
      </c>
    </row>
    <row r="43" spans="1:10" x14ac:dyDescent="0.25">
      <c r="A43" s="4" t="s">
        <v>153</v>
      </c>
      <c r="B43" s="4" t="s">
        <v>154</v>
      </c>
      <c r="C43" s="4" t="s">
        <v>155</v>
      </c>
      <c r="D43" s="4">
        <v>416</v>
      </c>
      <c r="E43" s="4">
        <v>330136551424</v>
      </c>
      <c r="F43" s="4">
        <v>34.15435</v>
      </c>
      <c r="G43" s="4">
        <v>10154999808</v>
      </c>
      <c r="H43" s="4">
        <v>62</v>
      </c>
      <c r="I43" s="4" t="s">
        <v>40</v>
      </c>
      <c r="J43" s="4" t="s">
        <v>41</v>
      </c>
    </row>
    <row r="44" spans="1:10" x14ac:dyDescent="0.25">
      <c r="A44" s="4" t="s">
        <v>156</v>
      </c>
      <c r="B44" s="4" t="s">
        <v>157</v>
      </c>
      <c r="C44" s="4" t="s">
        <v>158</v>
      </c>
      <c r="D44" s="4">
        <v>44.08</v>
      </c>
      <c r="E44" s="4">
        <v>9328233472</v>
      </c>
      <c r="F44" s="4">
        <v>43.643566</v>
      </c>
      <c r="G44" s="4">
        <v>3232999936</v>
      </c>
      <c r="I44" s="4" t="s">
        <v>40</v>
      </c>
      <c r="J44" s="4" t="s">
        <v>41</v>
      </c>
    </row>
    <row r="45" spans="1:10" x14ac:dyDescent="0.25">
      <c r="A45" s="4" t="s">
        <v>159</v>
      </c>
      <c r="B45" s="4" t="s">
        <v>160</v>
      </c>
      <c r="C45" s="4" t="s">
        <v>94</v>
      </c>
      <c r="D45" s="4">
        <v>102.5</v>
      </c>
      <c r="E45" s="4">
        <v>34952499200</v>
      </c>
      <c r="F45" s="4">
        <v>8.206566</v>
      </c>
      <c r="G45" s="4">
        <v>5565000192</v>
      </c>
      <c r="I45" s="4" t="s">
        <v>40</v>
      </c>
      <c r="J45" s="4" t="s">
        <v>41</v>
      </c>
    </row>
    <row r="46" spans="1:10" x14ac:dyDescent="0.25">
      <c r="A46" s="4" t="s">
        <v>161</v>
      </c>
      <c r="B46" s="4" t="s">
        <v>162</v>
      </c>
      <c r="C46" s="4" t="s">
        <v>163</v>
      </c>
      <c r="D46" s="4">
        <v>77.23</v>
      </c>
      <c r="E46" s="4">
        <v>37221502976</v>
      </c>
      <c r="F46" s="4">
        <v>21.45278</v>
      </c>
      <c r="G46" s="4">
        <v>2995000064</v>
      </c>
      <c r="I46" s="4" t="s">
        <v>40</v>
      </c>
      <c r="J46" s="4" t="s">
        <v>41</v>
      </c>
    </row>
    <row r="47" spans="1:10" x14ac:dyDescent="0.25">
      <c r="A47" s="4" t="s">
        <v>164</v>
      </c>
      <c r="B47" s="4" t="s">
        <v>165</v>
      </c>
      <c r="C47" s="4" t="s">
        <v>166</v>
      </c>
      <c r="D47" s="4">
        <v>186.72</v>
      </c>
      <c r="E47" s="4">
        <v>235495882752</v>
      </c>
      <c r="F47" s="4">
        <v>58.902206</v>
      </c>
      <c r="G47" s="4">
        <v>4639600128</v>
      </c>
      <c r="I47" s="4" t="s">
        <v>40</v>
      </c>
      <c r="J47" s="4" t="s">
        <v>41</v>
      </c>
    </row>
    <row r="48" spans="1:10" x14ac:dyDescent="0.25">
      <c r="A48" s="4" t="s">
        <v>167</v>
      </c>
      <c r="B48" s="4" t="s">
        <v>168</v>
      </c>
      <c r="C48" s="4" t="s">
        <v>146</v>
      </c>
      <c r="D48" s="4">
        <v>260.42</v>
      </c>
      <c r="E48" s="4">
        <v>66756325376</v>
      </c>
      <c r="F48" s="4">
        <v>43.187397</v>
      </c>
      <c r="G48" s="4">
        <v>4288000000</v>
      </c>
      <c r="I48" s="4" t="s">
        <v>40</v>
      </c>
      <c r="J48" s="4" t="s">
        <v>41</v>
      </c>
    </row>
    <row r="49" spans="1:10" x14ac:dyDescent="0.25">
      <c r="A49" s="4" t="s">
        <v>169</v>
      </c>
      <c r="B49" s="4" t="s">
        <v>170</v>
      </c>
      <c r="C49" s="4" t="s">
        <v>122</v>
      </c>
      <c r="D49" s="4">
        <v>284.99</v>
      </c>
      <c r="E49" s="4">
        <v>14056779776</v>
      </c>
      <c r="F49" s="4">
        <v>13.708032</v>
      </c>
      <c r="G49" s="4">
        <v>1737100032</v>
      </c>
      <c r="I49" s="4" t="s">
        <v>40</v>
      </c>
      <c r="J49" s="4" t="s">
        <v>41</v>
      </c>
    </row>
    <row r="50" spans="1:10" x14ac:dyDescent="0.25">
      <c r="A50" s="4" t="s">
        <v>171</v>
      </c>
      <c r="B50" s="4" t="s">
        <v>172</v>
      </c>
      <c r="C50" s="4" t="s">
        <v>173</v>
      </c>
      <c r="D50" s="4">
        <v>20.7</v>
      </c>
      <c r="E50" s="4">
        <v>139445010432</v>
      </c>
      <c r="F50" s="4">
        <v>11.069519</v>
      </c>
      <c r="G50" s="4">
        <v>45940998144</v>
      </c>
      <c r="I50" s="4" t="s">
        <v>40</v>
      </c>
      <c r="J50" s="4" t="s">
        <v>41</v>
      </c>
    </row>
    <row r="51" spans="1:10" x14ac:dyDescent="0.25">
      <c r="A51" s="4" t="s">
        <v>174</v>
      </c>
      <c r="B51" s="4" t="s">
        <v>175</v>
      </c>
      <c r="C51" s="4" t="s">
        <v>176</v>
      </c>
      <c r="D51" s="4">
        <v>169.53</v>
      </c>
      <c r="E51" s="4">
        <v>28648630272</v>
      </c>
      <c r="F51" s="4">
        <v>20.206198</v>
      </c>
      <c r="G51" s="4">
        <v>2624299008</v>
      </c>
      <c r="I51" s="4" t="s">
        <v>40</v>
      </c>
      <c r="J51" s="4" t="s">
        <v>41</v>
      </c>
    </row>
    <row r="52" spans="1:10" x14ac:dyDescent="0.25">
      <c r="A52" s="4" t="s">
        <v>177</v>
      </c>
      <c r="B52" s="4" t="s">
        <v>178</v>
      </c>
      <c r="C52" s="4" t="s">
        <v>56</v>
      </c>
      <c r="D52" s="4">
        <v>242.38</v>
      </c>
      <c r="E52" s="4">
        <v>50657419264</v>
      </c>
      <c r="F52" s="4">
        <v>31.437096</v>
      </c>
      <c r="G52" s="4">
        <v>2286000128</v>
      </c>
      <c r="H52" s="4">
        <v>35</v>
      </c>
      <c r="I52" s="4" t="s">
        <v>40</v>
      </c>
      <c r="J52" s="4" t="s">
        <v>41</v>
      </c>
    </row>
    <row r="53" spans="1:10" x14ac:dyDescent="0.25">
      <c r="A53" s="4" t="s">
        <v>179</v>
      </c>
      <c r="B53" s="4" t="s">
        <v>180</v>
      </c>
      <c r="C53" s="4" t="s">
        <v>181</v>
      </c>
      <c r="D53" s="4">
        <v>285.37</v>
      </c>
      <c r="E53" s="4">
        <v>113078304768</v>
      </c>
      <c r="F53" s="4">
        <v>26.795305</v>
      </c>
      <c r="G53" s="4">
        <v>6411200000</v>
      </c>
      <c r="I53" s="4" t="s">
        <v>40</v>
      </c>
      <c r="J53" s="4" t="s">
        <v>41</v>
      </c>
    </row>
    <row r="54" spans="1:10" x14ac:dyDescent="0.25">
      <c r="A54" s="4" t="s">
        <v>182</v>
      </c>
      <c r="B54" s="4" t="s">
        <v>183</v>
      </c>
      <c r="C54" s="4" t="s">
        <v>184</v>
      </c>
      <c r="D54" s="4">
        <v>3156.76</v>
      </c>
      <c r="E54" s="4">
        <v>50805972992</v>
      </c>
      <c r="F54" s="4">
        <v>20.693281</v>
      </c>
      <c r="G54" s="4">
        <v>4279979008</v>
      </c>
      <c r="I54" s="4" t="s">
        <v>40</v>
      </c>
      <c r="J54" s="4" t="s">
        <v>41</v>
      </c>
    </row>
    <row r="55" spans="1:10" x14ac:dyDescent="0.25">
      <c r="A55" s="4" t="s">
        <v>185</v>
      </c>
      <c r="B55" s="4" t="s">
        <v>186</v>
      </c>
      <c r="C55" s="4" t="s">
        <v>187</v>
      </c>
      <c r="D55" s="4">
        <v>184.06</v>
      </c>
      <c r="E55" s="4">
        <v>26283393024</v>
      </c>
      <c r="F55" s="4">
        <v>25.248285</v>
      </c>
      <c r="G55" s="4">
        <v>1857816064</v>
      </c>
      <c r="I55" s="4" t="s">
        <v>40</v>
      </c>
      <c r="J55" s="4" t="s">
        <v>41</v>
      </c>
    </row>
    <row r="56" spans="1:10" x14ac:dyDescent="0.25">
      <c r="A56" s="4" t="s">
        <v>188</v>
      </c>
      <c r="B56" s="4" t="s">
        <v>189</v>
      </c>
      <c r="C56" s="4" t="s">
        <v>108</v>
      </c>
      <c r="D56" s="4">
        <v>180.7</v>
      </c>
      <c r="E56" s="4">
        <v>13821811712</v>
      </c>
      <c r="F56" s="4">
        <v>19.90088</v>
      </c>
      <c r="G56" s="4">
        <v>1496499968</v>
      </c>
      <c r="I56" s="4" t="s">
        <v>40</v>
      </c>
      <c r="J56" s="4" t="s">
        <v>41</v>
      </c>
    </row>
    <row r="57" spans="1:10" x14ac:dyDescent="0.25">
      <c r="A57" s="4" t="s">
        <v>190</v>
      </c>
      <c r="B57" s="4" t="s">
        <v>191</v>
      </c>
      <c r="C57" s="4" t="s">
        <v>192</v>
      </c>
      <c r="D57" s="4">
        <v>423.17</v>
      </c>
      <c r="E57" s="4">
        <v>34377236480</v>
      </c>
      <c r="F57" s="4">
        <v>177.05858</v>
      </c>
      <c r="G57" s="4">
        <v>165106000</v>
      </c>
      <c r="H57" s="4">
        <v>4</v>
      </c>
      <c r="I57" s="4" t="s">
        <v>40</v>
      </c>
      <c r="J57" s="4" t="s">
        <v>41</v>
      </c>
    </row>
    <row r="58" spans="1:10" x14ac:dyDescent="0.25">
      <c r="A58" s="4" t="s">
        <v>193</v>
      </c>
      <c r="B58" s="4" t="s">
        <v>194</v>
      </c>
      <c r="C58" s="4" t="s">
        <v>195</v>
      </c>
      <c r="D58" s="4">
        <v>54.66</v>
      </c>
      <c r="E58" s="4">
        <v>54259564544</v>
      </c>
      <c r="F58" s="4">
        <v>17.575563</v>
      </c>
      <c r="G58" s="4">
        <v>4839000064</v>
      </c>
      <c r="I58" s="4" t="s">
        <v>40</v>
      </c>
      <c r="J58" s="4" t="s">
        <v>41</v>
      </c>
    </row>
    <row r="59" spans="1:10" x14ac:dyDescent="0.25">
      <c r="A59" s="4" t="s">
        <v>196</v>
      </c>
      <c r="B59" s="4" t="s">
        <v>197</v>
      </c>
      <c r="C59" s="4" t="s">
        <v>198</v>
      </c>
      <c r="D59" s="4">
        <v>63.26</v>
      </c>
      <c r="E59" s="4">
        <v>16842754048</v>
      </c>
      <c r="F59" s="4">
        <v>18.02279</v>
      </c>
      <c r="G59" s="4">
        <v>2076000000</v>
      </c>
      <c r="I59" s="4" t="s">
        <v>40</v>
      </c>
      <c r="J59" s="4" t="s">
        <v>41</v>
      </c>
    </row>
    <row r="60" spans="1:10" x14ac:dyDescent="0.25">
      <c r="A60" s="4" t="s">
        <v>199</v>
      </c>
      <c r="B60" s="4" t="s">
        <v>200</v>
      </c>
      <c r="C60" s="4" t="s">
        <v>201</v>
      </c>
      <c r="D60" s="4">
        <v>50.85</v>
      </c>
      <c r="E60" s="4">
        <v>352019054592</v>
      </c>
      <c r="F60" s="4">
        <v>12.107143</v>
      </c>
      <c r="I60" s="4" t="s">
        <v>40</v>
      </c>
      <c r="J60" s="4" t="s">
        <v>41</v>
      </c>
    </row>
    <row r="61" spans="1:10" x14ac:dyDescent="0.25">
      <c r="A61" s="4" t="s">
        <v>202</v>
      </c>
      <c r="B61" s="4" t="s">
        <v>203</v>
      </c>
      <c r="C61" s="4" t="s">
        <v>47</v>
      </c>
      <c r="D61" s="4">
        <v>25.46</v>
      </c>
      <c r="E61" s="4">
        <v>13162717184</v>
      </c>
      <c r="G61" s="4">
        <v>1884000000</v>
      </c>
      <c r="I61" s="4" t="s">
        <v>40</v>
      </c>
      <c r="J61" s="4" t="s">
        <v>41</v>
      </c>
    </row>
    <row r="62" spans="1:10" x14ac:dyDescent="0.25">
      <c r="A62" s="4" t="s">
        <v>204</v>
      </c>
      <c r="B62" s="4" t="s">
        <v>205</v>
      </c>
      <c r="C62" s="4" t="s">
        <v>47</v>
      </c>
      <c r="D62" s="4">
        <v>195.16</v>
      </c>
      <c r="E62" s="4">
        <v>53159010304</v>
      </c>
      <c r="F62" s="4">
        <v>45.386044</v>
      </c>
      <c r="G62" s="4">
        <v>6120999936</v>
      </c>
      <c r="H62" s="4">
        <v>50</v>
      </c>
      <c r="I62" s="4" t="s">
        <v>40</v>
      </c>
      <c r="J62" s="4" t="s">
        <v>41</v>
      </c>
    </row>
    <row r="63" spans="1:10" x14ac:dyDescent="0.25">
      <c r="A63" s="4" t="s">
        <v>206</v>
      </c>
      <c r="B63" s="4" t="s">
        <v>207</v>
      </c>
      <c r="C63" s="4" t="s">
        <v>208</v>
      </c>
      <c r="I63" s="4" t="s">
        <v>40</v>
      </c>
      <c r="J63" s="4" t="s">
        <v>41</v>
      </c>
    </row>
    <row r="64" spans="1:10" x14ac:dyDescent="0.25">
      <c r="A64" s="4" t="s">
        <v>209</v>
      </c>
      <c r="B64" s="4" t="s">
        <v>210</v>
      </c>
      <c r="C64" s="4" t="s">
        <v>211</v>
      </c>
      <c r="D64" s="4">
        <v>96.96</v>
      </c>
      <c r="E64" s="4">
        <v>20335198208</v>
      </c>
      <c r="F64" s="4">
        <v>16.378378</v>
      </c>
      <c r="G64" s="4">
        <v>2617999872</v>
      </c>
      <c r="I64" s="4" t="s">
        <v>40</v>
      </c>
      <c r="J64" s="4" t="s">
        <v>41</v>
      </c>
    </row>
    <row r="65" spans="1:10" x14ac:dyDescent="0.25">
      <c r="A65" s="4" t="s">
        <v>212</v>
      </c>
      <c r="B65" s="4" t="s">
        <v>213</v>
      </c>
      <c r="C65" s="4" t="s">
        <v>68</v>
      </c>
      <c r="D65" s="4">
        <v>72.69</v>
      </c>
      <c r="E65" s="4">
        <v>11399117824</v>
      </c>
      <c r="F65" s="4">
        <v>62.663795</v>
      </c>
      <c r="G65" s="4">
        <v>334105984</v>
      </c>
      <c r="H65" s="4">
        <v>16</v>
      </c>
      <c r="I65" s="4" t="s">
        <v>40</v>
      </c>
      <c r="J65" s="4" t="s">
        <v>41</v>
      </c>
    </row>
    <row r="66" spans="1:10" x14ac:dyDescent="0.25">
      <c r="A66" s="4" t="s">
        <v>214</v>
      </c>
      <c r="B66" s="4" t="s">
        <v>215</v>
      </c>
      <c r="C66" s="4" t="s">
        <v>50</v>
      </c>
      <c r="D66" s="4">
        <v>244.05</v>
      </c>
      <c r="E66" s="4">
        <v>36059365376</v>
      </c>
      <c r="F66" s="4">
        <v>43.348133</v>
      </c>
      <c r="G66" s="4">
        <v>3359200000</v>
      </c>
      <c r="H66" s="4">
        <v>52</v>
      </c>
      <c r="I66" s="4" t="s">
        <v>40</v>
      </c>
      <c r="J66" s="4" t="s">
        <v>41</v>
      </c>
    </row>
    <row r="67" spans="1:10" x14ac:dyDescent="0.25">
      <c r="A67" s="4" t="s">
        <v>216</v>
      </c>
      <c r="B67" s="4" t="s">
        <v>217</v>
      </c>
      <c r="C67" s="4" t="s">
        <v>131</v>
      </c>
      <c r="D67" s="4">
        <v>1157.88</v>
      </c>
      <c r="E67" s="4">
        <v>188127936512</v>
      </c>
      <c r="F67" s="4">
        <v>25.868633</v>
      </c>
      <c r="G67" s="4">
        <v>12005999616</v>
      </c>
      <c r="I67" s="4" t="s">
        <v>40</v>
      </c>
      <c r="J67" s="4" t="s">
        <v>41</v>
      </c>
    </row>
    <row r="68" spans="1:10" x14ac:dyDescent="0.25">
      <c r="A68" s="4" t="s">
        <v>218</v>
      </c>
      <c r="B68" s="4" t="s">
        <v>219</v>
      </c>
      <c r="C68" s="4" t="s">
        <v>131</v>
      </c>
      <c r="D68" s="4">
        <v>117.06</v>
      </c>
      <c r="E68" s="4">
        <v>139921555456</v>
      </c>
      <c r="F68" s="4">
        <v>26.07127</v>
      </c>
      <c r="I68" s="4" t="s">
        <v>40</v>
      </c>
      <c r="J68" s="4" t="s">
        <v>41</v>
      </c>
    </row>
    <row r="69" spans="1:10" x14ac:dyDescent="0.25">
      <c r="A69" s="4" t="s">
        <v>220</v>
      </c>
      <c r="B69" s="4" t="s">
        <v>221</v>
      </c>
      <c r="C69" s="4" t="s">
        <v>131</v>
      </c>
      <c r="I69" s="4" t="s">
        <v>40</v>
      </c>
      <c r="J69" s="4" t="s">
        <v>41</v>
      </c>
    </row>
    <row r="70" spans="1:10" x14ac:dyDescent="0.25">
      <c r="A70" s="4" t="s">
        <v>222</v>
      </c>
      <c r="B70" s="4" t="s">
        <v>223</v>
      </c>
      <c r="C70" s="4" t="s">
        <v>192</v>
      </c>
      <c r="D70" s="4">
        <v>167.14</v>
      </c>
      <c r="E70" s="4">
        <v>132450082816</v>
      </c>
      <c r="F70" s="4">
        <v>17.356178</v>
      </c>
      <c r="G70" s="4">
        <v>2348999936</v>
      </c>
      <c r="H70" s="4">
        <v>53</v>
      </c>
      <c r="I70" s="4" t="s">
        <v>40</v>
      </c>
      <c r="J70" s="4" t="s">
        <v>41</v>
      </c>
    </row>
    <row r="71" spans="1:10" x14ac:dyDescent="0.25">
      <c r="A71" s="4" t="s">
        <v>224</v>
      </c>
      <c r="B71" s="4" t="s">
        <v>225</v>
      </c>
      <c r="C71" s="4" t="s">
        <v>74</v>
      </c>
      <c r="D71" s="4">
        <v>147.94</v>
      </c>
      <c r="E71" s="4">
        <v>114635522048</v>
      </c>
      <c r="F71" s="4">
        <v>16.641169</v>
      </c>
      <c r="G71" s="4">
        <v>10412999680</v>
      </c>
      <c r="H71" s="4">
        <v>69</v>
      </c>
      <c r="I71" s="4" t="s">
        <v>40</v>
      </c>
      <c r="J71" s="4" t="s">
        <v>41</v>
      </c>
    </row>
    <row r="72" spans="1:10" x14ac:dyDescent="0.25">
      <c r="A72" s="4" t="s">
        <v>226</v>
      </c>
      <c r="B72" s="4" t="s">
        <v>227</v>
      </c>
      <c r="C72" s="4" t="s">
        <v>158</v>
      </c>
      <c r="D72" s="4">
        <v>55.93</v>
      </c>
      <c r="E72" s="4">
        <v>11391058944</v>
      </c>
      <c r="F72" s="4">
        <v>27.82587</v>
      </c>
      <c r="G72" s="4">
        <v>2036000000</v>
      </c>
      <c r="I72" s="4" t="s">
        <v>40</v>
      </c>
      <c r="J72" s="4" t="s">
        <v>41</v>
      </c>
    </row>
    <row r="73" spans="1:10" x14ac:dyDescent="0.25">
      <c r="A73" s="4" t="s">
        <v>228</v>
      </c>
      <c r="B73" s="4" t="s">
        <v>229</v>
      </c>
      <c r="C73" s="4" t="s">
        <v>47</v>
      </c>
      <c r="D73" s="4">
        <v>42.43</v>
      </c>
      <c r="E73" s="4">
        <v>61490810880</v>
      </c>
      <c r="F73" s="4">
        <v>18.2103</v>
      </c>
      <c r="G73" s="4">
        <v>5711000064</v>
      </c>
      <c r="H73" s="4">
        <v>85</v>
      </c>
      <c r="I73" s="4" t="s">
        <v>40</v>
      </c>
      <c r="J73" s="4" t="s">
        <v>41</v>
      </c>
    </row>
    <row r="74" spans="1:10" x14ac:dyDescent="0.25">
      <c r="A74" s="4" t="s">
        <v>230</v>
      </c>
      <c r="B74" s="4" t="s">
        <v>231</v>
      </c>
      <c r="C74" s="4" t="s">
        <v>232</v>
      </c>
      <c r="D74" s="4">
        <v>60.57</v>
      </c>
      <c r="E74" s="4">
        <v>123727224832</v>
      </c>
      <c r="F74" s="4">
        <v>13.550336</v>
      </c>
      <c r="G74" s="4">
        <v>18929999872</v>
      </c>
      <c r="H74" s="4">
        <v>82</v>
      </c>
      <c r="I74" s="4" t="s">
        <v>40</v>
      </c>
      <c r="J74" s="4" t="s">
        <v>41</v>
      </c>
    </row>
    <row r="75" spans="1:10" x14ac:dyDescent="0.25">
      <c r="A75" s="4" t="s">
        <v>233</v>
      </c>
      <c r="B75" s="4" t="s">
        <v>234</v>
      </c>
      <c r="C75" s="4" t="s">
        <v>59</v>
      </c>
      <c r="D75" s="4">
        <v>351.81</v>
      </c>
      <c r="E75" s="4">
        <v>1679410724864</v>
      </c>
      <c r="F75" s="4">
        <v>44.931034</v>
      </c>
      <c r="G75" s="4">
        <v>52259999744</v>
      </c>
      <c r="H75" s="4">
        <v>35</v>
      </c>
      <c r="I75" s="4" t="s">
        <v>40</v>
      </c>
      <c r="J75" s="4" t="s">
        <v>41</v>
      </c>
    </row>
    <row r="76" spans="1:10" x14ac:dyDescent="0.25">
      <c r="A76" s="4" t="s">
        <v>235</v>
      </c>
      <c r="B76" s="4" t="s">
        <v>236</v>
      </c>
      <c r="C76" s="4" t="s">
        <v>237</v>
      </c>
      <c r="D76" s="4">
        <v>176.97</v>
      </c>
      <c r="E76" s="4">
        <v>19979919360</v>
      </c>
      <c r="F76" s="4">
        <v>18.453598</v>
      </c>
      <c r="G76" s="4">
        <v>1808999936</v>
      </c>
      <c r="I76" s="4" t="s">
        <v>40</v>
      </c>
      <c r="J76" s="4" t="s">
        <v>41</v>
      </c>
    </row>
    <row r="77" spans="1:10" x14ac:dyDescent="0.25">
      <c r="A77" s="4" t="s">
        <v>238</v>
      </c>
      <c r="B77" s="4" t="s">
        <v>239</v>
      </c>
      <c r="C77" s="4" t="s">
        <v>146</v>
      </c>
      <c r="D77" s="4">
        <v>65.88</v>
      </c>
      <c r="E77" s="4">
        <v>21851856896</v>
      </c>
      <c r="F77" s="4">
        <v>21.38961</v>
      </c>
      <c r="G77" s="4">
        <v>2352999936</v>
      </c>
      <c r="I77" s="4" t="s">
        <v>40</v>
      </c>
      <c r="J77" s="4" t="s">
        <v>41</v>
      </c>
    </row>
    <row r="78" spans="1:10" x14ac:dyDescent="0.25">
      <c r="A78" s="4" t="s">
        <v>240</v>
      </c>
      <c r="B78" s="4" t="s">
        <v>241</v>
      </c>
      <c r="C78" s="4" t="s">
        <v>242</v>
      </c>
      <c r="I78" s="4" t="s">
        <v>40</v>
      </c>
      <c r="J78" s="4" t="s">
        <v>41</v>
      </c>
    </row>
    <row r="79" spans="1:10" x14ac:dyDescent="0.25">
      <c r="A79" s="4" t="s">
        <v>243</v>
      </c>
      <c r="B79" s="4" t="s">
        <v>244</v>
      </c>
      <c r="C79" s="4" t="s">
        <v>44</v>
      </c>
      <c r="D79" s="4">
        <v>55.88</v>
      </c>
      <c r="E79" s="4">
        <v>6012490240</v>
      </c>
      <c r="F79" s="4">
        <v>61.406593</v>
      </c>
      <c r="G79" s="4">
        <v>1022512000</v>
      </c>
      <c r="H79" s="4">
        <v>41</v>
      </c>
      <c r="I79" s="4" t="s">
        <v>40</v>
      </c>
      <c r="J79" s="4" t="s">
        <v>41</v>
      </c>
    </row>
    <row r="80" spans="1:10" x14ac:dyDescent="0.25">
      <c r="A80" s="4" t="s">
        <v>245</v>
      </c>
      <c r="B80" s="4" t="s">
        <v>246</v>
      </c>
      <c r="C80" s="4" t="s">
        <v>163</v>
      </c>
      <c r="D80" s="4">
        <v>100.8</v>
      </c>
      <c r="E80" s="4">
        <v>19365607424</v>
      </c>
      <c r="F80" s="4">
        <v>20.200403</v>
      </c>
      <c r="G80" s="4">
        <v>3126000128</v>
      </c>
      <c r="I80" s="4" t="s">
        <v>40</v>
      </c>
      <c r="J80" s="4" t="s">
        <v>41</v>
      </c>
    </row>
    <row r="81" spans="1:10" x14ac:dyDescent="0.25">
      <c r="A81" s="4" t="s">
        <v>247</v>
      </c>
      <c r="B81" s="4" t="s">
        <v>248</v>
      </c>
      <c r="C81" s="4" t="s">
        <v>83</v>
      </c>
      <c r="D81" s="4">
        <v>61.48</v>
      </c>
      <c r="E81" s="4">
        <v>11120344064</v>
      </c>
      <c r="F81" s="4">
        <v>32.70213</v>
      </c>
      <c r="G81" s="4">
        <v>1617154048</v>
      </c>
      <c r="I81" s="4" t="s">
        <v>40</v>
      </c>
      <c r="J81" s="4" t="s">
        <v>41</v>
      </c>
    </row>
    <row r="82" spans="1:10" x14ac:dyDescent="0.25">
      <c r="A82" s="4" t="s">
        <v>249</v>
      </c>
      <c r="B82" s="4" t="s">
        <v>250</v>
      </c>
      <c r="C82" s="4" t="s">
        <v>251</v>
      </c>
      <c r="D82" s="4">
        <v>127.6</v>
      </c>
      <c r="E82" s="4">
        <v>14733249536</v>
      </c>
      <c r="F82" s="4">
        <v>27.440859</v>
      </c>
      <c r="G82" s="4">
        <v>932641024</v>
      </c>
      <c r="I82" s="4" t="s">
        <v>40</v>
      </c>
      <c r="J82" s="4" t="s">
        <v>41</v>
      </c>
    </row>
    <row r="83" spans="1:10" x14ac:dyDescent="0.25">
      <c r="A83" s="4" t="s">
        <v>252</v>
      </c>
      <c r="B83" s="4" t="s">
        <v>253</v>
      </c>
      <c r="C83" s="4" t="s">
        <v>56</v>
      </c>
      <c r="D83" s="4">
        <v>342.46</v>
      </c>
      <c r="E83" s="4">
        <v>94455947264</v>
      </c>
      <c r="F83" s="4">
        <v>68.219124</v>
      </c>
      <c r="G83" s="4">
        <v>2232577024</v>
      </c>
      <c r="H83" s="4">
        <v>15</v>
      </c>
      <c r="I83" s="4" t="s">
        <v>40</v>
      </c>
      <c r="J83" s="4" t="s">
        <v>41</v>
      </c>
    </row>
    <row r="84" spans="1:10" x14ac:dyDescent="0.25">
      <c r="A84" s="4" t="s">
        <v>254</v>
      </c>
      <c r="B84" s="4" t="s">
        <v>255</v>
      </c>
      <c r="C84" s="4" t="s">
        <v>256</v>
      </c>
      <c r="D84" s="4">
        <v>28.57</v>
      </c>
      <c r="E84" s="4">
        <v>5821998080</v>
      </c>
      <c r="G84" s="4">
        <v>3459000064</v>
      </c>
      <c r="I84" s="4" t="s">
        <v>40</v>
      </c>
      <c r="J84" s="4" t="s">
        <v>41</v>
      </c>
    </row>
    <row r="85" spans="1:10" x14ac:dyDescent="0.25">
      <c r="A85" s="4" t="s">
        <v>257</v>
      </c>
      <c r="B85" s="4" t="s">
        <v>258</v>
      </c>
      <c r="C85" s="4" t="s">
        <v>187</v>
      </c>
      <c r="D85" s="4">
        <v>99.49</v>
      </c>
      <c r="E85" s="4">
        <v>10002660352</v>
      </c>
      <c r="F85" s="4">
        <v>33.498314</v>
      </c>
      <c r="G85" s="4">
        <v>893971008</v>
      </c>
      <c r="I85" s="4" t="s">
        <v>40</v>
      </c>
      <c r="J85" s="4" t="s">
        <v>41</v>
      </c>
    </row>
    <row r="86" spans="1:10" x14ac:dyDescent="0.25">
      <c r="A86" s="4" t="s">
        <v>259</v>
      </c>
      <c r="B86" s="4" t="s">
        <v>260</v>
      </c>
      <c r="C86" s="4" t="s">
        <v>261</v>
      </c>
      <c r="D86" s="4">
        <v>20.59</v>
      </c>
      <c r="E86" s="4">
        <v>6140652032</v>
      </c>
      <c r="F86" s="4">
        <v>15.838462</v>
      </c>
      <c r="G86" s="4">
        <v>1620000000</v>
      </c>
      <c r="H86" s="4">
        <v>86</v>
      </c>
      <c r="I86" s="4" t="s">
        <v>40</v>
      </c>
      <c r="J86" s="4" t="s">
        <v>41</v>
      </c>
    </row>
    <row r="87" spans="1:10" x14ac:dyDescent="0.25">
      <c r="A87" s="4" t="s">
        <v>262</v>
      </c>
      <c r="B87" s="4" t="s">
        <v>263</v>
      </c>
      <c r="C87" s="4" t="s">
        <v>119</v>
      </c>
      <c r="D87" s="4">
        <v>204.88</v>
      </c>
      <c r="E87" s="4">
        <v>125693886464</v>
      </c>
      <c r="F87" s="4">
        <v>13.158639</v>
      </c>
      <c r="I87" s="4" t="s">
        <v>40</v>
      </c>
      <c r="J87" s="4" t="s">
        <v>41</v>
      </c>
    </row>
    <row r="88" spans="1:10" x14ac:dyDescent="0.25">
      <c r="A88" s="4" t="s">
        <v>264</v>
      </c>
      <c r="B88" s="4" t="s">
        <v>265</v>
      </c>
      <c r="C88" s="4" t="s">
        <v>266</v>
      </c>
      <c r="D88" s="4">
        <v>244.76</v>
      </c>
      <c r="E88" s="4">
        <v>56676462592</v>
      </c>
      <c r="F88" s="4">
        <v>33.853386</v>
      </c>
      <c r="G88" s="4">
        <v>4244000000</v>
      </c>
      <c r="I88" s="4" t="s">
        <v>40</v>
      </c>
      <c r="J88" s="4" t="s">
        <v>41</v>
      </c>
    </row>
    <row r="89" spans="1:10" x14ac:dyDescent="0.25">
      <c r="A89" s="4" t="s">
        <v>267</v>
      </c>
      <c r="B89" s="4" t="s">
        <v>268</v>
      </c>
      <c r="C89" s="4" t="s">
        <v>184</v>
      </c>
      <c r="D89" s="4">
        <v>53.99</v>
      </c>
      <c r="E89" s="4">
        <v>7663492096</v>
      </c>
      <c r="F89" s="4">
        <v>25.587679</v>
      </c>
      <c r="G89" s="4">
        <v>1127090048</v>
      </c>
      <c r="I89" s="4" t="s">
        <v>40</v>
      </c>
      <c r="J89" s="4" t="s">
        <v>41</v>
      </c>
    </row>
    <row r="90" spans="1:10" x14ac:dyDescent="0.25">
      <c r="A90" s="4" t="s">
        <v>269</v>
      </c>
      <c r="B90" s="4" t="s">
        <v>270</v>
      </c>
      <c r="C90" s="4" t="s">
        <v>74</v>
      </c>
      <c r="D90" s="4">
        <v>28.06</v>
      </c>
      <c r="E90" s="4">
        <v>37729759232</v>
      </c>
      <c r="F90" s="4">
        <v>12.2</v>
      </c>
      <c r="G90" s="4">
        <v>7292000256</v>
      </c>
      <c r="H90" s="4">
        <v>81</v>
      </c>
      <c r="I90" s="4" t="s">
        <v>40</v>
      </c>
      <c r="J90" s="4" t="s">
        <v>41</v>
      </c>
    </row>
    <row r="91" spans="1:10" x14ac:dyDescent="0.25">
      <c r="A91" s="4" t="s">
        <v>271</v>
      </c>
      <c r="B91" s="4" t="s">
        <v>272</v>
      </c>
      <c r="C91" s="4" t="s">
        <v>44</v>
      </c>
      <c r="D91" s="4">
        <v>56.27</v>
      </c>
      <c r="E91" s="4">
        <v>46736760832</v>
      </c>
      <c r="F91" s="4">
        <v>41.99254</v>
      </c>
      <c r="G91" s="4">
        <v>3092999936</v>
      </c>
      <c r="H91" s="4">
        <v>27</v>
      </c>
      <c r="I91" s="4" t="s">
        <v>40</v>
      </c>
      <c r="J91" s="4" t="s">
        <v>41</v>
      </c>
    </row>
    <row r="92" spans="1:10" x14ac:dyDescent="0.25">
      <c r="A92" s="4" t="s">
        <v>273</v>
      </c>
      <c r="B92" s="4" t="s">
        <v>274</v>
      </c>
      <c r="C92" s="4" t="s">
        <v>232</v>
      </c>
      <c r="I92" s="4" t="s">
        <v>40</v>
      </c>
      <c r="J92" s="4" t="s">
        <v>41</v>
      </c>
    </row>
    <row r="93" spans="1:10" x14ac:dyDescent="0.25">
      <c r="A93" s="4" t="s">
        <v>275</v>
      </c>
      <c r="B93" s="4" t="s">
        <v>276</v>
      </c>
      <c r="C93" s="4" t="s">
        <v>277</v>
      </c>
      <c r="D93" s="4">
        <v>713.38</v>
      </c>
      <c r="E93" s="4">
        <v>327922876416</v>
      </c>
      <c r="F93" s="4">
        <v>30.709429</v>
      </c>
      <c r="G93" s="4">
        <v>16250999808</v>
      </c>
      <c r="I93" s="4" t="s">
        <v>40</v>
      </c>
      <c r="J93" s="4" t="s">
        <v>41</v>
      </c>
    </row>
    <row r="94" spans="1:10" x14ac:dyDescent="0.25">
      <c r="A94" s="4" t="s">
        <v>278</v>
      </c>
      <c r="B94" s="4" t="s">
        <v>279</v>
      </c>
      <c r="C94" s="4" t="s">
        <v>280</v>
      </c>
      <c r="D94" s="4">
        <v>320.42</v>
      </c>
      <c r="E94" s="4">
        <v>33461786624</v>
      </c>
      <c r="F94" s="4">
        <v>24.97428</v>
      </c>
      <c r="G94" s="4">
        <v>1930700032</v>
      </c>
      <c r="I94" s="4" t="s">
        <v>40</v>
      </c>
      <c r="J94" s="4" t="s">
        <v>41</v>
      </c>
    </row>
    <row r="95" spans="1:10" x14ac:dyDescent="0.25">
      <c r="A95" s="4" t="s">
        <v>281</v>
      </c>
      <c r="B95" s="4" t="s">
        <v>282</v>
      </c>
      <c r="C95" s="4" t="s">
        <v>283</v>
      </c>
      <c r="D95" s="4">
        <v>123.7</v>
      </c>
      <c r="E95" s="4">
        <v>35649875968</v>
      </c>
      <c r="F95" s="4">
        <v>26.042105</v>
      </c>
      <c r="G95" s="4">
        <v>2200000000</v>
      </c>
      <c r="I95" s="4" t="s">
        <v>40</v>
      </c>
      <c r="J95" s="4" t="s">
        <v>41</v>
      </c>
    </row>
    <row r="96" spans="1:10" x14ac:dyDescent="0.25">
      <c r="A96" s="4" t="s">
        <v>284</v>
      </c>
      <c r="B96" s="4" t="s">
        <v>284</v>
      </c>
      <c r="C96" s="4" t="s">
        <v>285</v>
      </c>
      <c r="D96" s="4">
        <v>162.66</v>
      </c>
      <c r="E96" s="4">
        <v>20335335424</v>
      </c>
      <c r="F96" s="4">
        <v>19.410501</v>
      </c>
      <c r="G96" s="4">
        <v>2010899968</v>
      </c>
      <c r="I96" s="4" t="s">
        <v>40</v>
      </c>
      <c r="J96" s="4" t="s">
        <v>41</v>
      </c>
    </row>
    <row r="97" spans="1:10" x14ac:dyDescent="0.25">
      <c r="A97" s="4" t="s">
        <v>286</v>
      </c>
      <c r="B97" s="4" t="s">
        <v>287</v>
      </c>
      <c r="C97" s="4" t="s">
        <v>80</v>
      </c>
      <c r="D97" s="4">
        <v>48.85</v>
      </c>
      <c r="E97" s="4">
        <v>5361234944</v>
      </c>
      <c r="G97" s="4">
        <v>1676999936</v>
      </c>
      <c r="I97" s="4" t="s">
        <v>40</v>
      </c>
      <c r="J97" s="4" t="s">
        <v>41</v>
      </c>
    </row>
    <row r="98" spans="1:10" x14ac:dyDescent="0.25">
      <c r="A98" s="4" t="s">
        <v>288</v>
      </c>
      <c r="B98" s="4" t="s">
        <v>289</v>
      </c>
      <c r="C98" s="4" t="s">
        <v>266</v>
      </c>
      <c r="D98" s="4">
        <v>324.35</v>
      </c>
      <c r="E98" s="4">
        <v>61894791168</v>
      </c>
      <c r="F98" s="4">
        <v>24.151154</v>
      </c>
      <c r="G98" s="4">
        <v>5546476032</v>
      </c>
      <c r="I98" s="4" t="s">
        <v>40</v>
      </c>
      <c r="J98" s="4" t="s">
        <v>41</v>
      </c>
    </row>
    <row r="99" spans="1:10" x14ac:dyDescent="0.25">
      <c r="A99" s="4" t="s">
        <v>290</v>
      </c>
      <c r="B99" s="4" t="s">
        <v>291</v>
      </c>
      <c r="C99" s="4" t="s">
        <v>292</v>
      </c>
      <c r="D99" s="4">
        <v>67.05</v>
      </c>
      <c r="E99" s="4">
        <v>33194311680</v>
      </c>
      <c r="F99" s="4">
        <v>23.609158</v>
      </c>
      <c r="G99" s="4">
        <v>3123000064</v>
      </c>
      <c r="I99" s="4" t="s">
        <v>40</v>
      </c>
      <c r="J99" s="4" t="s">
        <v>41</v>
      </c>
    </row>
    <row r="100" spans="1:10" x14ac:dyDescent="0.25">
      <c r="A100" s="4" t="s">
        <v>293</v>
      </c>
      <c r="B100" s="4" t="s">
        <v>294</v>
      </c>
      <c r="C100" s="4" t="s">
        <v>114</v>
      </c>
      <c r="D100" s="4">
        <v>41.59</v>
      </c>
      <c r="E100" s="4">
        <v>27569164288</v>
      </c>
      <c r="F100" s="4">
        <v>24.180233</v>
      </c>
      <c r="G100" s="4">
        <v>4088000000</v>
      </c>
      <c r="H100" s="4">
        <v>44</v>
      </c>
      <c r="I100" s="4" t="s">
        <v>40</v>
      </c>
      <c r="J100" s="4" t="s">
        <v>41</v>
      </c>
    </row>
    <row r="101" spans="1:10" x14ac:dyDescent="0.25">
      <c r="A101" s="4" t="s">
        <v>295</v>
      </c>
      <c r="B101" s="4" t="s">
        <v>296</v>
      </c>
      <c r="C101" s="4" t="s">
        <v>297</v>
      </c>
      <c r="D101" s="4">
        <v>119.92</v>
      </c>
      <c r="E101" s="4">
        <v>18148468736</v>
      </c>
      <c r="F101" s="4">
        <v>8.896143</v>
      </c>
      <c r="G101" s="4">
        <v>3872999936</v>
      </c>
      <c r="I101" s="4" t="s">
        <v>40</v>
      </c>
      <c r="J101" s="4" t="s">
        <v>41</v>
      </c>
    </row>
    <row r="102" spans="1:10" x14ac:dyDescent="0.25">
      <c r="A102" s="4" t="s">
        <v>298</v>
      </c>
      <c r="B102" s="4" t="s">
        <v>299</v>
      </c>
      <c r="C102" s="4" t="s">
        <v>68</v>
      </c>
      <c r="D102" s="4">
        <v>373.98</v>
      </c>
      <c r="E102" s="4">
        <v>17853384704</v>
      </c>
      <c r="G102" s="4">
        <v>849118016</v>
      </c>
      <c r="I102" s="4" t="s">
        <v>40</v>
      </c>
      <c r="J102" s="4" t="s">
        <v>41</v>
      </c>
    </row>
    <row r="103" spans="1:10" x14ac:dyDescent="0.25">
      <c r="A103" s="4" t="s">
        <v>300</v>
      </c>
      <c r="B103" s="4" t="s">
        <v>301</v>
      </c>
      <c r="C103" s="4" t="s">
        <v>302</v>
      </c>
      <c r="D103" s="4">
        <v>88.76</v>
      </c>
      <c r="E103" s="4">
        <v>153495830528</v>
      </c>
      <c r="F103" s="4">
        <v>15.277109</v>
      </c>
      <c r="I103" s="4" t="s">
        <v>40</v>
      </c>
      <c r="J103" s="4" t="s">
        <v>41</v>
      </c>
    </row>
    <row r="104" spans="1:10" x14ac:dyDescent="0.25">
      <c r="A104" s="4" t="s">
        <v>303</v>
      </c>
      <c r="B104" s="4" t="s">
        <v>304</v>
      </c>
      <c r="C104" s="4" t="s">
        <v>305</v>
      </c>
      <c r="D104" s="4">
        <v>105.39</v>
      </c>
      <c r="E104" s="4">
        <v>13696231424</v>
      </c>
      <c r="F104" s="4">
        <v>2.7317262</v>
      </c>
      <c r="G104" s="4">
        <v>21814999040</v>
      </c>
      <c r="I104" s="4" t="s">
        <v>40</v>
      </c>
      <c r="J104" s="4" t="s">
        <v>41</v>
      </c>
    </row>
    <row r="105" spans="1:10" x14ac:dyDescent="0.25">
      <c r="A105" s="4" t="s">
        <v>306</v>
      </c>
      <c r="B105" s="4" t="s">
        <v>307</v>
      </c>
      <c r="C105" s="4" t="s">
        <v>308</v>
      </c>
      <c r="D105" s="4">
        <v>229.2</v>
      </c>
      <c r="E105" s="4">
        <v>449599471616</v>
      </c>
      <c r="F105" s="4">
        <v>22.059671</v>
      </c>
      <c r="G105" s="4">
        <v>50661998592</v>
      </c>
      <c r="I105" s="4" t="s">
        <v>40</v>
      </c>
      <c r="J105" s="4" t="s">
        <v>41</v>
      </c>
    </row>
    <row r="106" spans="1:10" x14ac:dyDescent="0.25">
      <c r="A106" s="4" t="s">
        <v>309</v>
      </c>
      <c r="B106" s="4" t="s">
        <v>310</v>
      </c>
      <c r="C106" s="4" t="s">
        <v>311</v>
      </c>
      <c r="D106" s="4">
        <v>28.73</v>
      </c>
      <c r="E106" s="4">
        <v>36355457024</v>
      </c>
      <c r="F106" s="4">
        <v>26.357798</v>
      </c>
      <c r="G106" s="4">
        <v>2275020032</v>
      </c>
      <c r="H106" s="4">
        <v>25</v>
      </c>
      <c r="I106" s="4" t="s">
        <v>40</v>
      </c>
      <c r="J106" s="4" t="s">
        <v>41</v>
      </c>
    </row>
    <row r="107" spans="1:10" x14ac:dyDescent="0.25">
      <c r="A107" s="4" t="s">
        <v>312</v>
      </c>
      <c r="B107" s="4" t="s">
        <v>313</v>
      </c>
      <c r="C107" s="4" t="s">
        <v>94</v>
      </c>
      <c r="D107" s="4">
        <v>355.5</v>
      </c>
      <c r="E107" s="4">
        <v>137151856640</v>
      </c>
      <c r="F107" s="4">
        <v>12.486829</v>
      </c>
      <c r="G107" s="4">
        <v>14085000192</v>
      </c>
      <c r="I107" s="4" t="s">
        <v>40</v>
      </c>
      <c r="J107" s="4" t="s">
        <v>41</v>
      </c>
    </row>
    <row r="108" spans="1:10" x14ac:dyDescent="0.25">
      <c r="A108" s="4" t="s">
        <v>314</v>
      </c>
      <c r="B108" s="4" t="s">
        <v>315</v>
      </c>
      <c r="C108" s="4" t="s">
        <v>316</v>
      </c>
      <c r="D108" s="4">
        <v>104.75</v>
      </c>
      <c r="E108" s="4">
        <v>24847108096</v>
      </c>
      <c r="F108" s="4">
        <v>33.681675</v>
      </c>
      <c r="G108" s="4">
        <v>1354800000</v>
      </c>
      <c r="I108" s="4" t="s">
        <v>40</v>
      </c>
      <c r="J108" s="4" t="s">
        <v>41</v>
      </c>
    </row>
    <row r="109" spans="1:10" x14ac:dyDescent="0.25">
      <c r="A109" s="4" t="s">
        <v>317</v>
      </c>
      <c r="B109" s="4" t="s">
        <v>318</v>
      </c>
      <c r="C109" s="4" t="s">
        <v>319</v>
      </c>
      <c r="D109" s="4">
        <v>295</v>
      </c>
      <c r="E109" s="4">
        <v>77950943232</v>
      </c>
      <c r="F109" s="4">
        <v>12.332776</v>
      </c>
      <c r="G109" s="4">
        <v>12757999616</v>
      </c>
      <c r="H109" s="4">
        <v>82</v>
      </c>
      <c r="I109" s="4" t="s">
        <v>40</v>
      </c>
      <c r="J109" s="4" t="s">
        <v>41</v>
      </c>
    </row>
    <row r="110" spans="1:10" x14ac:dyDescent="0.25">
      <c r="A110" s="4" t="s">
        <v>320</v>
      </c>
      <c r="B110" s="4" t="s">
        <v>321</v>
      </c>
      <c r="C110" s="4" t="s">
        <v>94</v>
      </c>
      <c r="D110" s="4">
        <v>179.39</v>
      </c>
      <c r="E110" s="4">
        <v>27538216960</v>
      </c>
      <c r="F110" s="4">
        <v>10.527581</v>
      </c>
      <c r="G110" s="4">
        <v>3508000000</v>
      </c>
      <c r="I110" s="4" t="s">
        <v>40</v>
      </c>
      <c r="J110" s="4" t="s">
        <v>41</v>
      </c>
    </row>
    <row r="111" spans="1:10" x14ac:dyDescent="0.25">
      <c r="A111" s="4" t="s">
        <v>322</v>
      </c>
      <c r="B111" s="4" t="s">
        <v>323</v>
      </c>
      <c r="C111" s="4" t="s">
        <v>111</v>
      </c>
      <c r="D111" s="4">
        <v>212.81</v>
      </c>
      <c r="E111" s="4">
        <v>84501553152</v>
      </c>
      <c r="F111" s="4">
        <v>41.974358</v>
      </c>
      <c r="G111" s="4">
        <v>3104722944</v>
      </c>
      <c r="I111" s="4" t="s">
        <v>40</v>
      </c>
      <c r="J111" s="4" t="s">
        <v>41</v>
      </c>
    </row>
    <row r="112" spans="1:10" x14ac:dyDescent="0.25">
      <c r="A112" s="4" t="s">
        <v>324</v>
      </c>
      <c r="B112" s="4" t="s">
        <v>325</v>
      </c>
      <c r="C112" s="4" t="s">
        <v>166</v>
      </c>
      <c r="D112" s="4">
        <v>110.29</v>
      </c>
      <c r="E112" s="4">
        <v>434827919360</v>
      </c>
      <c r="F112" s="4">
        <v>33.42121</v>
      </c>
      <c r="G112" s="4">
        <v>18641999872</v>
      </c>
      <c r="I112" s="4" t="s">
        <v>40</v>
      </c>
      <c r="J112" s="4" t="s">
        <v>41</v>
      </c>
    </row>
    <row r="113" spans="1:10" x14ac:dyDescent="0.25">
      <c r="A113" s="4" t="s">
        <v>326</v>
      </c>
      <c r="B113" s="4" t="s">
        <v>327</v>
      </c>
      <c r="C113" s="4" t="s">
        <v>201</v>
      </c>
      <c r="D113" s="4">
        <v>124.11</v>
      </c>
      <c r="E113" s="4">
        <v>205426868224</v>
      </c>
      <c r="F113" s="4">
        <v>11.956647</v>
      </c>
      <c r="I113" s="4" t="s">
        <v>40</v>
      </c>
      <c r="J113" s="4" t="s">
        <v>41</v>
      </c>
    </row>
    <row r="114" spans="1:10" x14ac:dyDescent="0.25">
      <c r="A114" s="4" t="s">
        <v>328</v>
      </c>
      <c r="B114" s="4" t="s">
        <v>329</v>
      </c>
      <c r="C114" s="4" t="s">
        <v>330</v>
      </c>
      <c r="D114" s="4">
        <v>65.27</v>
      </c>
      <c r="E114" s="4">
        <v>27493015552</v>
      </c>
      <c r="F114" s="4">
        <v>14.220042</v>
      </c>
      <c r="I114" s="4" t="s">
        <v>40</v>
      </c>
      <c r="J114" s="4" t="s">
        <v>41</v>
      </c>
    </row>
    <row r="115" spans="1:10" x14ac:dyDescent="0.25">
      <c r="A115" s="4" t="s">
        <v>331</v>
      </c>
      <c r="B115" s="4" t="s">
        <v>332</v>
      </c>
      <c r="C115" s="4" t="s">
        <v>316</v>
      </c>
      <c r="D115" s="4">
        <v>86.84</v>
      </c>
      <c r="E115" s="4">
        <v>10502270976</v>
      </c>
      <c r="F115" s="4">
        <v>18.054054</v>
      </c>
      <c r="G115" s="4">
        <v>1140000000</v>
      </c>
      <c r="I115" s="4" t="s">
        <v>40</v>
      </c>
      <c r="J115" s="4" t="s">
        <v>41</v>
      </c>
    </row>
    <row r="116" spans="1:10" x14ac:dyDescent="0.25">
      <c r="A116" s="4" t="s">
        <v>333</v>
      </c>
      <c r="B116" s="4" t="s">
        <v>334</v>
      </c>
      <c r="C116" s="4" t="s">
        <v>280</v>
      </c>
      <c r="D116" s="4">
        <v>294.04</v>
      </c>
      <c r="E116" s="4">
        <v>105246883840</v>
      </c>
      <c r="F116" s="4">
        <v>24.062193</v>
      </c>
      <c r="G116" s="4">
        <v>4940700160</v>
      </c>
      <c r="I116" s="4" t="s">
        <v>40</v>
      </c>
      <c r="J116" s="4" t="s">
        <v>41</v>
      </c>
    </row>
    <row r="117" spans="1:10" x14ac:dyDescent="0.25">
      <c r="A117" s="4" t="s">
        <v>335</v>
      </c>
      <c r="B117" s="4" t="s">
        <v>336</v>
      </c>
      <c r="C117" s="4" t="s">
        <v>114</v>
      </c>
      <c r="D117" s="4">
        <v>68.21</v>
      </c>
      <c r="E117" s="4">
        <v>21392404480</v>
      </c>
      <c r="F117" s="4">
        <v>24.624548</v>
      </c>
      <c r="G117" s="4">
        <v>2488000000</v>
      </c>
      <c r="H117" s="4">
        <v>11</v>
      </c>
      <c r="I117" s="4" t="s">
        <v>40</v>
      </c>
      <c r="J117" s="4" t="s">
        <v>41</v>
      </c>
    </row>
    <row r="118" spans="1:10" x14ac:dyDescent="0.25">
      <c r="A118" s="4" t="s">
        <v>337</v>
      </c>
      <c r="B118" s="4" t="s">
        <v>338</v>
      </c>
      <c r="C118" s="4" t="s">
        <v>339</v>
      </c>
      <c r="D118" s="4">
        <v>91.73</v>
      </c>
      <c r="E118" s="4">
        <v>394581114880</v>
      </c>
      <c r="F118" s="4">
        <v>27.546549</v>
      </c>
      <c r="G118" s="4">
        <v>17621999616</v>
      </c>
      <c r="I118" s="4" t="s">
        <v>40</v>
      </c>
      <c r="J118" s="4" t="s">
        <v>41</v>
      </c>
    </row>
    <row r="119" spans="1:10" x14ac:dyDescent="0.25">
      <c r="A119" s="4" t="s">
        <v>340</v>
      </c>
      <c r="B119" s="4" t="s">
        <v>341</v>
      </c>
      <c r="C119" s="4" t="s">
        <v>53</v>
      </c>
      <c r="D119" s="4">
        <v>66.36</v>
      </c>
      <c r="E119" s="4">
        <v>31388280832</v>
      </c>
      <c r="F119" s="4">
        <v>14.2709675</v>
      </c>
      <c r="G119" s="4">
        <v>4036000000</v>
      </c>
      <c r="H119" s="4">
        <v>90</v>
      </c>
      <c r="I119" s="4" t="s">
        <v>40</v>
      </c>
      <c r="J119" s="4" t="s">
        <v>41</v>
      </c>
    </row>
    <row r="120" spans="1:10" x14ac:dyDescent="0.25">
      <c r="A120" s="4" t="s">
        <v>342</v>
      </c>
      <c r="B120" s="4" t="s">
        <v>343</v>
      </c>
      <c r="C120" s="4" t="s">
        <v>316</v>
      </c>
      <c r="D120" s="4">
        <v>91.69</v>
      </c>
      <c r="E120" s="4">
        <v>73092775936</v>
      </c>
      <c r="F120" s="4">
        <v>36.241108</v>
      </c>
      <c r="G120" s="4">
        <v>4983000064</v>
      </c>
      <c r="I120" s="4" t="s">
        <v>40</v>
      </c>
      <c r="J120" s="4" t="s">
        <v>41</v>
      </c>
    </row>
    <row r="121" spans="1:10" x14ac:dyDescent="0.25">
      <c r="A121" s="4" t="s">
        <v>344</v>
      </c>
      <c r="B121" s="4" t="s">
        <v>345</v>
      </c>
      <c r="C121" s="4" t="s">
        <v>305</v>
      </c>
      <c r="D121" s="4">
        <v>21.57</v>
      </c>
      <c r="E121" s="4">
        <v>76595200000</v>
      </c>
      <c r="F121" s="4">
        <v>6.9134617</v>
      </c>
      <c r="G121" s="4">
        <v>33540999168</v>
      </c>
      <c r="I121" s="4" t="s">
        <v>40</v>
      </c>
      <c r="J121" s="4" t="s">
        <v>41</v>
      </c>
    </row>
    <row r="122" spans="1:10" x14ac:dyDescent="0.25">
      <c r="A122" s="4" t="s">
        <v>346</v>
      </c>
      <c r="B122" s="4" t="s">
        <v>347</v>
      </c>
      <c r="C122" s="4" t="s">
        <v>261</v>
      </c>
      <c r="D122" s="4">
        <v>13.92</v>
      </c>
      <c r="E122" s="4">
        <v>6645568512</v>
      </c>
      <c r="G122" s="4">
        <v>1657900032</v>
      </c>
      <c r="I122" s="4" t="s">
        <v>40</v>
      </c>
      <c r="J122" s="4" t="s">
        <v>41</v>
      </c>
    </row>
    <row r="123" spans="1:10" x14ac:dyDescent="0.25">
      <c r="A123" s="4" t="s">
        <v>348</v>
      </c>
      <c r="B123" s="4" t="s">
        <v>349</v>
      </c>
      <c r="C123" s="4" t="s">
        <v>149</v>
      </c>
      <c r="D123" s="4">
        <v>149.06</v>
      </c>
      <c r="E123" s="4">
        <v>179071352832</v>
      </c>
      <c r="F123" s="4">
        <v>19.743046</v>
      </c>
      <c r="G123" s="4">
        <v>26780000256</v>
      </c>
      <c r="H123" s="4">
        <v>16</v>
      </c>
      <c r="I123" s="4" t="s">
        <v>40</v>
      </c>
      <c r="J123" s="4" t="s">
        <v>41</v>
      </c>
    </row>
    <row r="124" spans="1:10" x14ac:dyDescent="0.25">
      <c r="A124" s="4" t="s">
        <v>350</v>
      </c>
      <c r="B124" s="4" t="s">
        <v>351</v>
      </c>
      <c r="C124" s="4" t="s">
        <v>114</v>
      </c>
      <c r="D124" s="4">
        <v>114.15</v>
      </c>
      <c r="E124" s="4">
        <v>42215940096</v>
      </c>
      <c r="F124" s="4">
        <v>18.805601</v>
      </c>
      <c r="G124" s="4">
        <v>6161999872</v>
      </c>
      <c r="H124" s="4">
        <v>73</v>
      </c>
      <c r="I124" s="4" t="s">
        <v>40</v>
      </c>
      <c r="J124" s="4" t="s">
        <v>41</v>
      </c>
    </row>
    <row r="125" spans="1:10" x14ac:dyDescent="0.25">
      <c r="A125" s="4" t="s">
        <v>352</v>
      </c>
      <c r="B125" s="4" t="s">
        <v>353</v>
      </c>
      <c r="C125" s="4" t="s">
        <v>242</v>
      </c>
      <c r="D125" s="4">
        <v>129.8</v>
      </c>
      <c r="E125" s="4">
        <v>21965303808</v>
      </c>
      <c r="F125" s="4">
        <v>11.620412</v>
      </c>
      <c r="G125" s="4">
        <v>3425900032</v>
      </c>
      <c r="I125" s="4" t="s">
        <v>40</v>
      </c>
      <c r="J125" s="4" t="s">
        <v>41</v>
      </c>
    </row>
    <row r="126" spans="1:10" x14ac:dyDescent="0.25">
      <c r="A126" s="4" t="s">
        <v>354</v>
      </c>
      <c r="B126" s="4" t="s">
        <v>355</v>
      </c>
      <c r="C126" s="4" t="s">
        <v>91</v>
      </c>
      <c r="D126" s="4">
        <v>258.08</v>
      </c>
      <c r="E126" s="4">
        <v>91439644672</v>
      </c>
      <c r="F126" s="4">
        <v>25.227762</v>
      </c>
      <c r="G126" s="4">
        <v>7952000000</v>
      </c>
      <c r="H126" s="4">
        <v>7</v>
      </c>
      <c r="I126" s="4" t="s">
        <v>40</v>
      </c>
      <c r="J126" s="4" t="s">
        <v>41</v>
      </c>
    </row>
    <row r="127" spans="1:10" x14ac:dyDescent="0.25">
      <c r="A127" s="4" t="s">
        <v>356</v>
      </c>
      <c r="B127" s="4" t="s">
        <v>357</v>
      </c>
      <c r="C127" s="4" t="s">
        <v>86</v>
      </c>
      <c r="D127" s="4">
        <v>59.41</v>
      </c>
      <c r="E127" s="4">
        <v>11297126400</v>
      </c>
      <c r="F127" s="4">
        <v>20.557093</v>
      </c>
      <c r="G127" s="4">
        <v>932000000</v>
      </c>
      <c r="I127" s="4" t="s">
        <v>40</v>
      </c>
      <c r="J127" s="4" t="s">
        <v>41</v>
      </c>
    </row>
    <row r="128" spans="1:10" x14ac:dyDescent="0.25">
      <c r="A128" s="4" t="s">
        <v>358</v>
      </c>
      <c r="B128" s="4" t="s">
        <v>359</v>
      </c>
      <c r="C128" s="4" t="s">
        <v>111</v>
      </c>
      <c r="D128" s="4">
        <v>28.96</v>
      </c>
      <c r="E128" s="4">
        <v>26826528768</v>
      </c>
      <c r="F128" s="4">
        <v>18.68387</v>
      </c>
      <c r="G128" s="4">
        <v>1866263040</v>
      </c>
      <c r="I128" s="4" t="s">
        <v>40</v>
      </c>
      <c r="J128" s="4" t="s">
        <v>41</v>
      </c>
    </row>
    <row r="129" spans="1:10" x14ac:dyDescent="0.25">
      <c r="A129" s="4" t="s">
        <v>360</v>
      </c>
      <c r="B129" s="4" t="s">
        <v>361</v>
      </c>
      <c r="C129" s="4" t="s">
        <v>139</v>
      </c>
      <c r="D129" s="4">
        <v>131.2</v>
      </c>
      <c r="E129" s="4">
        <v>112784482304</v>
      </c>
      <c r="F129" s="4">
        <v>53.11741</v>
      </c>
      <c r="G129" s="4">
        <v>4456999936</v>
      </c>
      <c r="I129" s="4" t="s">
        <v>40</v>
      </c>
      <c r="J129" s="4" t="s">
        <v>41</v>
      </c>
    </row>
    <row r="130" spans="1:10" x14ac:dyDescent="0.25">
      <c r="A130" s="4" t="s">
        <v>362</v>
      </c>
      <c r="B130" s="4" t="s">
        <v>363</v>
      </c>
      <c r="C130" s="4" t="s">
        <v>364</v>
      </c>
      <c r="D130" s="4">
        <v>395.86</v>
      </c>
      <c r="E130" s="4">
        <v>25992007680</v>
      </c>
      <c r="F130" s="4">
        <v>24.064436</v>
      </c>
      <c r="G130" s="4">
        <v>2798278912</v>
      </c>
      <c r="H130" s="4">
        <v>50</v>
      </c>
      <c r="I130" s="4" t="s">
        <v>40</v>
      </c>
      <c r="J130" s="4" t="s">
        <v>41</v>
      </c>
    </row>
    <row r="131" spans="1:10" x14ac:dyDescent="0.25">
      <c r="A131" s="4" t="s">
        <v>365</v>
      </c>
      <c r="B131" s="4" t="s">
        <v>366</v>
      </c>
      <c r="C131" s="4" t="s">
        <v>297</v>
      </c>
      <c r="D131" s="4">
        <v>11.33</v>
      </c>
      <c r="E131" s="4">
        <v>7559330816</v>
      </c>
      <c r="F131" s="4">
        <v>7.170886</v>
      </c>
      <c r="G131" s="4">
        <v>678000000</v>
      </c>
      <c r="I131" s="4" t="s">
        <v>40</v>
      </c>
      <c r="J131" s="4" t="s">
        <v>41</v>
      </c>
    </row>
    <row r="132" spans="1:10" x14ac:dyDescent="0.25">
      <c r="A132" s="4" t="s">
        <v>367</v>
      </c>
      <c r="B132" s="4" t="s">
        <v>368</v>
      </c>
      <c r="C132" s="4" t="s">
        <v>283</v>
      </c>
      <c r="D132" s="4">
        <v>27.54</v>
      </c>
      <c r="E132" s="4">
        <v>11159142400</v>
      </c>
      <c r="F132" s="4">
        <v>183.6</v>
      </c>
      <c r="G132" s="4">
        <v>394000000</v>
      </c>
      <c r="I132" s="4" t="s">
        <v>40</v>
      </c>
      <c r="J132" s="4" t="s">
        <v>41</v>
      </c>
    </row>
    <row r="133" spans="1:10" x14ac:dyDescent="0.25">
      <c r="A133" s="4" t="s">
        <v>369</v>
      </c>
      <c r="B133" s="4" t="s">
        <v>370</v>
      </c>
      <c r="C133" s="4" t="s">
        <v>371</v>
      </c>
      <c r="D133" s="4">
        <v>982.73</v>
      </c>
      <c r="E133" s="4">
        <v>435476496384</v>
      </c>
      <c r="F133" s="4">
        <v>47.337666</v>
      </c>
      <c r="G133" s="4">
        <v>14184999936</v>
      </c>
      <c r="H133" s="4">
        <v>10</v>
      </c>
      <c r="I133" s="4" t="s">
        <v>40</v>
      </c>
      <c r="J133" s="4" t="s">
        <v>41</v>
      </c>
    </row>
    <row r="134" spans="1:10" x14ac:dyDescent="0.25">
      <c r="A134" s="4" t="s">
        <v>372</v>
      </c>
      <c r="B134" s="4" t="s">
        <v>373</v>
      </c>
      <c r="C134" s="4" t="s">
        <v>149</v>
      </c>
      <c r="I134" s="4" t="s">
        <v>40</v>
      </c>
      <c r="J134" s="4" t="s">
        <v>41</v>
      </c>
    </row>
    <row r="135" spans="1:10" x14ac:dyDescent="0.25">
      <c r="A135" s="4" t="s">
        <v>374</v>
      </c>
      <c r="B135" s="4" t="s">
        <v>375</v>
      </c>
      <c r="C135" s="4" t="s">
        <v>376</v>
      </c>
      <c r="D135" s="4">
        <v>266.66</v>
      </c>
      <c r="E135" s="4">
        <v>273042472960</v>
      </c>
      <c r="F135" s="4">
        <v>5333.2</v>
      </c>
      <c r="G135" s="4">
        <v>106861000</v>
      </c>
      <c r="H135" s="4">
        <v>8</v>
      </c>
      <c r="I135" s="4" t="s">
        <v>40</v>
      </c>
      <c r="J135" s="4" t="s">
        <v>41</v>
      </c>
    </row>
    <row r="136" spans="1:10" x14ac:dyDescent="0.25">
      <c r="A136" s="4" t="s">
        <v>377</v>
      </c>
      <c r="B136" s="4" t="s">
        <v>378</v>
      </c>
      <c r="C136" s="4" t="s">
        <v>125</v>
      </c>
      <c r="D136" s="4">
        <v>87.74</v>
      </c>
      <c r="E136" s="4">
        <v>37329457152</v>
      </c>
      <c r="F136" s="4">
        <v>35.236946</v>
      </c>
      <c r="G136" s="4">
        <v>2646000128</v>
      </c>
      <c r="I136" s="4" t="s">
        <v>40</v>
      </c>
      <c r="J136" s="4" t="s">
        <v>41</v>
      </c>
    </row>
    <row r="137" spans="1:10" x14ac:dyDescent="0.25">
      <c r="A137" s="4" t="s">
        <v>379</v>
      </c>
      <c r="B137" s="4" t="s">
        <v>380</v>
      </c>
      <c r="C137" s="4" t="s">
        <v>381</v>
      </c>
      <c r="D137" s="4">
        <v>51.98</v>
      </c>
      <c r="E137" s="4">
        <v>96291643392</v>
      </c>
      <c r="F137" s="4">
        <v>27.072918</v>
      </c>
      <c r="G137" s="4">
        <v>7138999808</v>
      </c>
      <c r="I137" s="4" t="s">
        <v>40</v>
      </c>
      <c r="J137" s="4" t="s">
        <v>41</v>
      </c>
    </row>
    <row r="138" spans="1:10" x14ac:dyDescent="0.25">
      <c r="A138" s="4" t="s">
        <v>382</v>
      </c>
      <c r="B138" s="4" t="s">
        <v>383</v>
      </c>
      <c r="C138" s="4" t="s">
        <v>277</v>
      </c>
      <c r="D138" s="4">
        <v>531.39</v>
      </c>
      <c r="E138" s="4">
        <v>73326018560</v>
      </c>
      <c r="F138" s="4">
        <v>27.111734</v>
      </c>
      <c r="G138" s="4">
        <v>5020000256</v>
      </c>
      <c r="I138" s="4" t="s">
        <v>40</v>
      </c>
      <c r="J138" s="4" t="s">
        <v>41</v>
      </c>
    </row>
    <row r="139" spans="1:10" x14ac:dyDescent="0.25">
      <c r="A139" s="4" t="s">
        <v>384</v>
      </c>
      <c r="B139" s="4" t="s">
        <v>385</v>
      </c>
      <c r="C139" s="4" t="s">
        <v>319</v>
      </c>
      <c r="D139" s="4">
        <v>89.95</v>
      </c>
      <c r="E139" s="4">
        <v>115043377152</v>
      </c>
      <c r="F139" s="4">
        <v>23.986666</v>
      </c>
      <c r="G139" s="4">
        <v>16679999488</v>
      </c>
      <c r="H139" s="4">
        <v>50</v>
      </c>
      <c r="I139" s="4" t="s">
        <v>40</v>
      </c>
      <c r="J139" s="4" t="s">
        <v>41</v>
      </c>
    </row>
    <row r="140" spans="1:10" x14ac:dyDescent="0.25">
      <c r="A140" s="4" t="s">
        <v>386</v>
      </c>
      <c r="B140" s="4" t="s">
        <v>387</v>
      </c>
      <c r="C140" s="4" t="s">
        <v>388</v>
      </c>
      <c r="D140" s="4">
        <v>143</v>
      </c>
      <c r="E140" s="4">
        <v>39997284352</v>
      </c>
      <c r="F140" s="4">
        <v>13.6320305</v>
      </c>
      <c r="G140" s="4">
        <v>4127399936</v>
      </c>
      <c r="I140" s="4" t="s">
        <v>40</v>
      </c>
      <c r="J140" s="4" t="s">
        <v>41</v>
      </c>
    </row>
    <row r="141" spans="1:10" x14ac:dyDescent="0.25">
      <c r="A141" s="4" t="s">
        <v>389</v>
      </c>
      <c r="B141" s="4" t="s">
        <v>390</v>
      </c>
      <c r="C141" s="4" t="s">
        <v>68</v>
      </c>
      <c r="D141" s="4">
        <v>234.07</v>
      </c>
      <c r="E141" s="4">
        <v>164547952640</v>
      </c>
      <c r="F141" s="4">
        <v>38.43514</v>
      </c>
      <c r="G141" s="4">
        <v>8256000000</v>
      </c>
      <c r="H141" s="4">
        <v>53</v>
      </c>
      <c r="I141" s="4" t="s">
        <v>40</v>
      </c>
      <c r="J141" s="4" t="s">
        <v>41</v>
      </c>
    </row>
    <row r="142" spans="1:10" x14ac:dyDescent="0.25">
      <c r="A142" s="4" t="s">
        <v>391</v>
      </c>
      <c r="B142" s="4" t="s">
        <v>392</v>
      </c>
      <c r="C142" s="4" t="s">
        <v>311</v>
      </c>
      <c r="D142" s="4">
        <v>216.56</v>
      </c>
      <c r="E142" s="4">
        <v>24502296576</v>
      </c>
      <c r="F142" s="4">
        <v>21.025242</v>
      </c>
      <c r="G142" s="4">
        <v>2142300032</v>
      </c>
      <c r="H142" s="4">
        <v>55</v>
      </c>
      <c r="I142" s="4" t="s">
        <v>40</v>
      </c>
      <c r="J142" s="4" t="s">
        <v>41</v>
      </c>
    </row>
    <row r="143" spans="1:10" x14ac:dyDescent="0.25">
      <c r="A143" s="4" t="s">
        <v>393</v>
      </c>
      <c r="B143" s="4" t="s">
        <v>394</v>
      </c>
      <c r="C143" s="4" t="s">
        <v>319</v>
      </c>
      <c r="D143" s="4">
        <v>183.93</v>
      </c>
      <c r="E143" s="4">
        <v>11805546496</v>
      </c>
      <c r="F143" s="4">
        <v>15.340283</v>
      </c>
      <c r="G143" s="4">
        <v>2826191616</v>
      </c>
      <c r="H143" s="4">
        <v>78</v>
      </c>
      <c r="I143" s="4" t="s">
        <v>40</v>
      </c>
      <c r="J143" s="4" t="s">
        <v>41</v>
      </c>
    </row>
    <row r="144" spans="1:10" x14ac:dyDescent="0.25">
      <c r="A144" s="4" t="s">
        <v>395</v>
      </c>
      <c r="B144" s="4" t="s">
        <v>396</v>
      </c>
      <c r="C144" s="4" t="s">
        <v>181</v>
      </c>
      <c r="I144" s="4" t="s">
        <v>40</v>
      </c>
      <c r="J144" s="4" t="s">
        <v>41</v>
      </c>
    </row>
    <row r="145" spans="1:10" x14ac:dyDescent="0.25">
      <c r="A145" s="4" t="s">
        <v>397</v>
      </c>
      <c r="B145" s="4" t="s">
        <v>398</v>
      </c>
      <c r="C145" s="4" t="s">
        <v>399</v>
      </c>
      <c r="D145" s="4">
        <v>80.74</v>
      </c>
      <c r="E145" s="4">
        <v>10995322880</v>
      </c>
      <c r="F145" s="4">
        <v>10.694039</v>
      </c>
      <c r="G145" s="4">
        <v>1387879936</v>
      </c>
      <c r="I145" s="4" t="s">
        <v>40</v>
      </c>
      <c r="J145" s="4" t="s">
        <v>41</v>
      </c>
    </row>
    <row r="146" spans="1:10" x14ac:dyDescent="0.25">
      <c r="A146" s="4" t="s">
        <v>400</v>
      </c>
      <c r="B146" s="4" t="s">
        <v>401</v>
      </c>
      <c r="C146" s="4" t="s">
        <v>402</v>
      </c>
      <c r="D146" s="4">
        <v>640.67</v>
      </c>
      <c r="E146" s="4">
        <v>172740902912</v>
      </c>
      <c r="F146" s="4">
        <v>35.61256</v>
      </c>
      <c r="G146" s="4">
        <v>8600000512</v>
      </c>
      <c r="I146" s="4" t="s">
        <v>40</v>
      </c>
      <c r="J146" s="4" t="s">
        <v>41</v>
      </c>
    </row>
    <row r="147" spans="1:10" x14ac:dyDescent="0.25">
      <c r="A147" s="4" t="s">
        <v>403</v>
      </c>
      <c r="B147" s="4" t="s">
        <v>404</v>
      </c>
      <c r="C147" s="4" t="s">
        <v>152</v>
      </c>
      <c r="D147" s="4">
        <v>493.79</v>
      </c>
      <c r="E147" s="4">
        <v>313957974016</v>
      </c>
      <c r="F147" s="4">
        <v>28.70872</v>
      </c>
      <c r="G147" s="4">
        <v>17725999104</v>
      </c>
      <c r="H147" s="4">
        <v>56</v>
      </c>
      <c r="I147" s="4" t="s">
        <v>40</v>
      </c>
      <c r="J147" s="4" t="s">
        <v>41</v>
      </c>
    </row>
    <row r="148" spans="1:10" x14ac:dyDescent="0.25">
      <c r="A148" s="4" t="s">
        <v>405</v>
      </c>
      <c r="B148" s="4" t="s">
        <v>406</v>
      </c>
      <c r="C148" s="4" t="s">
        <v>407</v>
      </c>
      <c r="D148" s="4">
        <v>80.35</v>
      </c>
      <c r="E148" s="4">
        <v>52863258624</v>
      </c>
      <c r="F148" s="4">
        <v>16.037924</v>
      </c>
      <c r="G148" s="4">
        <v>7506999808</v>
      </c>
      <c r="I148" s="4" t="s">
        <v>40</v>
      </c>
      <c r="J148" s="4" t="s">
        <v>41</v>
      </c>
    </row>
    <row r="149" spans="1:10" x14ac:dyDescent="0.25">
      <c r="A149" s="4" t="s">
        <v>408</v>
      </c>
      <c r="B149" s="4" t="s">
        <v>409</v>
      </c>
      <c r="C149" s="4" t="s">
        <v>149</v>
      </c>
      <c r="D149" s="4">
        <v>51.27</v>
      </c>
      <c r="E149" s="4">
        <v>56397000704</v>
      </c>
      <c r="F149" s="4">
        <v>11.169934</v>
      </c>
      <c r="G149" s="4">
        <v>8924000256</v>
      </c>
      <c r="H149" s="4">
        <v>56</v>
      </c>
      <c r="I149" s="4" t="s">
        <v>40</v>
      </c>
      <c r="J149" s="4" t="s">
        <v>41</v>
      </c>
    </row>
    <row r="150" spans="1:10" x14ac:dyDescent="0.25">
      <c r="A150" s="4" t="s">
        <v>410</v>
      </c>
      <c r="B150" s="4" t="s">
        <v>411</v>
      </c>
      <c r="C150" s="4" t="s">
        <v>47</v>
      </c>
      <c r="D150" s="4">
        <v>78.62</v>
      </c>
      <c r="E150" s="4">
        <v>29668104192</v>
      </c>
      <c r="F150" s="4">
        <v>31.198414</v>
      </c>
      <c r="G150" s="4">
        <v>1403200000</v>
      </c>
      <c r="H150" s="4">
        <v>39</v>
      </c>
      <c r="I150" s="4" t="s">
        <v>40</v>
      </c>
      <c r="J150" s="4" t="s">
        <v>41</v>
      </c>
    </row>
    <row r="151" spans="1:10" x14ac:dyDescent="0.25">
      <c r="A151" s="4" t="s">
        <v>412</v>
      </c>
      <c r="B151" s="4" t="s">
        <v>413</v>
      </c>
      <c r="C151" s="4" t="s">
        <v>149</v>
      </c>
      <c r="D151" s="4">
        <v>206.22</v>
      </c>
      <c r="E151" s="4">
        <v>58012430336</v>
      </c>
      <c r="F151" s="4">
        <v>39.28</v>
      </c>
      <c r="G151" s="4">
        <v>11779999744</v>
      </c>
      <c r="H151" s="4">
        <v>30</v>
      </c>
      <c r="I151" s="4" t="s">
        <v>40</v>
      </c>
      <c r="J151" s="4" t="s">
        <v>41</v>
      </c>
    </row>
    <row r="152" spans="1:10" x14ac:dyDescent="0.25">
      <c r="A152" s="4" t="s">
        <v>414</v>
      </c>
      <c r="B152" s="4" t="s">
        <v>415</v>
      </c>
      <c r="C152" s="4" t="s">
        <v>416</v>
      </c>
      <c r="D152" s="4">
        <v>179.77</v>
      </c>
      <c r="E152" s="4">
        <v>67892609024</v>
      </c>
      <c r="F152" s="4">
        <v>87.267</v>
      </c>
      <c r="G152" s="4">
        <v>3210312960</v>
      </c>
      <c r="I152" s="4" t="s">
        <v>40</v>
      </c>
      <c r="J152" s="4" t="s">
        <v>41</v>
      </c>
    </row>
    <row r="153" spans="1:10" x14ac:dyDescent="0.25">
      <c r="A153" s="4" t="s">
        <v>417</v>
      </c>
      <c r="B153" s="4" t="s">
        <v>418</v>
      </c>
      <c r="C153" s="4" t="s">
        <v>119</v>
      </c>
      <c r="I153" s="4" t="s">
        <v>40</v>
      </c>
      <c r="J153" s="4" t="s">
        <v>41</v>
      </c>
    </row>
    <row r="154" spans="1:10" x14ac:dyDescent="0.25">
      <c r="A154" s="4" t="s">
        <v>419</v>
      </c>
      <c r="B154" s="4" t="s">
        <v>420</v>
      </c>
      <c r="C154" s="4" t="s">
        <v>371</v>
      </c>
      <c r="D154" s="4">
        <v>126.17</v>
      </c>
      <c r="E154" s="4">
        <v>27835219968</v>
      </c>
      <c r="F154" s="4">
        <v>16.385714</v>
      </c>
      <c r="G154" s="4">
        <v>3581925888</v>
      </c>
      <c r="H154" s="4">
        <v>66</v>
      </c>
      <c r="I154" s="4" t="s">
        <v>40</v>
      </c>
      <c r="J154" s="4" t="s">
        <v>41</v>
      </c>
    </row>
    <row r="155" spans="1:10" x14ac:dyDescent="0.25">
      <c r="A155" s="4" t="s">
        <v>421</v>
      </c>
      <c r="B155" s="4" t="s">
        <v>422</v>
      </c>
      <c r="C155" s="4" t="s">
        <v>371</v>
      </c>
      <c r="D155" s="4">
        <v>127.18</v>
      </c>
      <c r="E155" s="4">
        <v>23862822912</v>
      </c>
      <c r="F155" s="4">
        <v>15.068721</v>
      </c>
      <c r="G155" s="4">
        <v>2503800064</v>
      </c>
      <c r="H155" s="4">
        <v>74</v>
      </c>
      <c r="I155" s="4" t="s">
        <v>40</v>
      </c>
      <c r="J155" s="4" t="s">
        <v>41</v>
      </c>
    </row>
    <row r="156" spans="1:10" x14ac:dyDescent="0.25">
      <c r="A156" s="4" t="s">
        <v>423</v>
      </c>
      <c r="B156" s="4" t="s">
        <v>424</v>
      </c>
      <c r="C156" s="4" t="s">
        <v>114</v>
      </c>
      <c r="D156" s="4">
        <v>64.28</v>
      </c>
      <c r="E156" s="4">
        <v>56535928832</v>
      </c>
      <c r="F156" s="4">
        <v>22.242214</v>
      </c>
      <c r="G156" s="4">
        <v>8341000192</v>
      </c>
      <c r="H156" s="4">
        <v>51</v>
      </c>
      <c r="I156" s="4" t="s">
        <v>40</v>
      </c>
      <c r="J156" s="4" t="s">
        <v>41</v>
      </c>
    </row>
    <row r="157" spans="1:10" x14ac:dyDescent="0.25">
      <c r="A157" s="4" t="s">
        <v>425</v>
      </c>
      <c r="B157" s="4" t="s">
        <v>426</v>
      </c>
      <c r="C157" s="4" t="s">
        <v>311</v>
      </c>
      <c r="D157" s="4">
        <v>309.45</v>
      </c>
      <c r="E157" s="4">
        <v>10179685376</v>
      </c>
      <c r="F157" s="4">
        <v>17.191668</v>
      </c>
      <c r="G157" s="4">
        <v>1042630016</v>
      </c>
      <c r="H157" s="4">
        <v>92</v>
      </c>
      <c r="I157" s="4" t="s">
        <v>40</v>
      </c>
      <c r="J157" s="4" t="s">
        <v>41</v>
      </c>
    </row>
    <row r="158" spans="1:10" x14ac:dyDescent="0.25">
      <c r="A158" s="4" t="s">
        <v>427</v>
      </c>
      <c r="B158" s="4" t="s">
        <v>428</v>
      </c>
      <c r="C158" s="4" t="s">
        <v>429</v>
      </c>
      <c r="D158" s="4">
        <v>207.99</v>
      </c>
      <c r="E158" s="4">
        <v>27662809088</v>
      </c>
      <c r="F158" s="4">
        <v>25.709518</v>
      </c>
      <c r="G158" s="4">
        <v>1959284992</v>
      </c>
      <c r="H158" s="4">
        <v>52</v>
      </c>
      <c r="I158" s="4" t="s">
        <v>40</v>
      </c>
      <c r="J158" s="4" t="s">
        <v>41</v>
      </c>
    </row>
    <row r="159" spans="1:10" x14ac:dyDescent="0.25">
      <c r="A159" s="4" t="s">
        <v>430</v>
      </c>
      <c r="B159" s="4" t="s">
        <v>431</v>
      </c>
      <c r="C159" s="4" t="s">
        <v>432</v>
      </c>
      <c r="D159" s="4">
        <v>34.13</v>
      </c>
      <c r="E159" s="4">
        <v>24706091008</v>
      </c>
      <c r="G159" s="4">
        <v>4514999808</v>
      </c>
      <c r="I159" s="4" t="s">
        <v>40</v>
      </c>
      <c r="J159" s="4" t="s">
        <v>41</v>
      </c>
    </row>
    <row r="160" spans="1:10" x14ac:dyDescent="0.25">
      <c r="A160" s="4" t="s">
        <v>433</v>
      </c>
      <c r="B160" s="4" t="s">
        <v>434</v>
      </c>
      <c r="C160" s="4" t="s">
        <v>114</v>
      </c>
      <c r="D160" s="4">
        <v>131.96</v>
      </c>
      <c r="E160" s="4">
        <v>27459301376</v>
      </c>
      <c r="F160" s="4">
        <v>20.912838</v>
      </c>
      <c r="G160" s="4">
        <v>3616999936</v>
      </c>
      <c r="H160" s="4">
        <v>51</v>
      </c>
      <c r="I160" s="4" t="s">
        <v>40</v>
      </c>
      <c r="J160" s="4" t="s">
        <v>41</v>
      </c>
    </row>
    <row r="161" spans="1:10" x14ac:dyDescent="0.25">
      <c r="A161" s="4" t="s">
        <v>435</v>
      </c>
      <c r="B161" s="4" t="s">
        <v>436</v>
      </c>
      <c r="C161" s="4" t="s">
        <v>91</v>
      </c>
      <c r="D161" s="4">
        <v>123.57</v>
      </c>
      <c r="E161" s="4">
        <v>96347799552</v>
      </c>
      <c r="F161" s="4">
        <v>18.60994</v>
      </c>
      <c r="G161" s="4">
        <v>16616999936</v>
      </c>
      <c r="H161" s="4">
        <v>70</v>
      </c>
      <c r="I161" s="4" t="s">
        <v>40</v>
      </c>
      <c r="J161" s="4" t="s">
        <v>41</v>
      </c>
    </row>
    <row r="162" spans="1:10" x14ac:dyDescent="0.25">
      <c r="A162" s="4" t="s">
        <v>437</v>
      </c>
      <c r="B162" s="4" t="s">
        <v>438</v>
      </c>
      <c r="C162" s="4" t="s">
        <v>80</v>
      </c>
      <c r="D162" s="4">
        <v>138.68</v>
      </c>
      <c r="E162" s="4">
        <v>18724491264</v>
      </c>
      <c r="F162" s="4">
        <v>37.279568</v>
      </c>
      <c r="G162" s="4">
        <v>1583000064</v>
      </c>
      <c r="H162" s="4">
        <v>50</v>
      </c>
      <c r="I162" s="4" t="s">
        <v>40</v>
      </c>
      <c r="J162" s="4" t="s">
        <v>41</v>
      </c>
    </row>
    <row r="163" spans="1:10" x14ac:dyDescent="0.25">
      <c r="A163" s="4" t="s">
        <v>439</v>
      </c>
      <c r="B163" s="4" t="s">
        <v>440</v>
      </c>
      <c r="C163" s="4" t="s">
        <v>80</v>
      </c>
      <c r="D163" s="4">
        <v>66.67</v>
      </c>
      <c r="E163" s="4">
        <v>7622155776</v>
      </c>
      <c r="F163" s="4">
        <v>17.40731</v>
      </c>
      <c r="G163" s="4">
        <v>1392999936</v>
      </c>
      <c r="H163" s="4">
        <v>84</v>
      </c>
      <c r="I163" s="4" t="s">
        <v>40</v>
      </c>
      <c r="J163" s="4" t="s">
        <v>41</v>
      </c>
    </row>
    <row r="164" spans="1:10" x14ac:dyDescent="0.25">
      <c r="A164" s="4" t="s">
        <v>441</v>
      </c>
      <c r="B164" s="4" t="s">
        <v>442</v>
      </c>
      <c r="C164" s="4" t="s">
        <v>134</v>
      </c>
      <c r="D164" s="4">
        <v>392.88</v>
      </c>
      <c r="E164" s="4">
        <v>152555307008</v>
      </c>
      <c r="F164" s="4">
        <v>39.96745</v>
      </c>
      <c r="G164" s="4">
        <v>6639000064</v>
      </c>
      <c r="H164" s="4">
        <v>42</v>
      </c>
      <c r="I164" s="4" t="s">
        <v>40</v>
      </c>
      <c r="J164" s="4" t="s">
        <v>41</v>
      </c>
    </row>
    <row r="165" spans="1:10" x14ac:dyDescent="0.25">
      <c r="A165" s="4" t="s">
        <v>443</v>
      </c>
      <c r="B165" s="4" t="s">
        <v>444</v>
      </c>
      <c r="C165" s="4" t="s">
        <v>105</v>
      </c>
      <c r="D165" s="4">
        <v>118.02</v>
      </c>
      <c r="E165" s="4">
        <v>52518899712</v>
      </c>
      <c r="F165" s="4">
        <v>24.794115</v>
      </c>
      <c r="G165" s="4">
        <v>3096000000</v>
      </c>
      <c r="I165" s="4" t="s">
        <v>40</v>
      </c>
      <c r="J165" s="4" t="s">
        <v>41</v>
      </c>
    </row>
    <row r="166" spans="1:10" x14ac:dyDescent="0.25">
      <c r="A166" s="4" t="s">
        <v>445</v>
      </c>
      <c r="B166" s="4" t="s">
        <v>446</v>
      </c>
      <c r="C166" s="4" t="s">
        <v>80</v>
      </c>
      <c r="D166" s="4">
        <v>292.41</v>
      </c>
      <c r="E166" s="4">
        <v>81970888704</v>
      </c>
      <c r="F166" s="4">
        <v>39.249664</v>
      </c>
      <c r="G166" s="4">
        <v>4273100032</v>
      </c>
      <c r="H166" s="4">
        <v>24</v>
      </c>
      <c r="I166" s="4" t="s">
        <v>40</v>
      </c>
      <c r="J166" s="4" t="s">
        <v>41</v>
      </c>
    </row>
    <row r="167" spans="1:10" x14ac:dyDescent="0.25">
      <c r="A167" s="4" t="s">
        <v>447</v>
      </c>
      <c r="B167" s="4" t="s">
        <v>448</v>
      </c>
      <c r="C167" s="4" t="s">
        <v>91</v>
      </c>
      <c r="D167" s="4">
        <v>58.83</v>
      </c>
      <c r="E167" s="4">
        <v>22638608384</v>
      </c>
      <c r="F167" s="4">
        <v>6.0649486</v>
      </c>
      <c r="G167" s="4">
        <v>8929999872</v>
      </c>
      <c r="H167" s="4">
        <v>97</v>
      </c>
      <c r="I167" s="4" t="s">
        <v>40</v>
      </c>
      <c r="J167" s="4" t="s">
        <v>41</v>
      </c>
    </row>
    <row r="168" spans="1:10" x14ac:dyDescent="0.25">
      <c r="A168" s="4" t="s">
        <v>449</v>
      </c>
      <c r="B168" s="4" t="s">
        <v>450</v>
      </c>
      <c r="C168" s="4" t="s">
        <v>47</v>
      </c>
      <c r="D168" s="4">
        <v>91.78</v>
      </c>
      <c r="E168" s="4">
        <v>52846923776</v>
      </c>
      <c r="F168" s="4">
        <v>53.672512</v>
      </c>
      <c r="G168" s="4">
        <v>1996800000</v>
      </c>
      <c r="H168" s="4">
        <v>17</v>
      </c>
      <c r="I168" s="4" t="s">
        <v>40</v>
      </c>
      <c r="J168" s="4" t="s">
        <v>41</v>
      </c>
    </row>
    <row r="169" spans="1:10" x14ac:dyDescent="0.25">
      <c r="A169" s="4" t="s">
        <v>451</v>
      </c>
      <c r="B169" s="4" t="s">
        <v>452</v>
      </c>
      <c r="C169" s="4" t="s">
        <v>453</v>
      </c>
      <c r="D169" s="4">
        <v>209.7</v>
      </c>
      <c r="E169" s="4">
        <v>52925640704</v>
      </c>
      <c r="F169" s="4">
        <v>59.743587</v>
      </c>
      <c r="G169" s="4">
        <v>1726000000</v>
      </c>
      <c r="I169" s="4" t="s">
        <v>40</v>
      </c>
      <c r="J169" s="4" t="s">
        <v>41</v>
      </c>
    </row>
    <row r="170" spans="1:10" x14ac:dyDescent="0.25">
      <c r="A170" s="4" t="s">
        <v>454</v>
      </c>
      <c r="B170" s="4" t="s">
        <v>455</v>
      </c>
      <c r="C170" s="4" t="s">
        <v>292</v>
      </c>
      <c r="D170" s="4">
        <v>414.41</v>
      </c>
      <c r="E170" s="4">
        <v>89872801792</v>
      </c>
      <c r="F170" s="4">
        <v>17.901081</v>
      </c>
      <c r="G170" s="4">
        <v>8712999936</v>
      </c>
      <c r="I170" s="4" t="s">
        <v>40</v>
      </c>
      <c r="J170" s="4" t="s">
        <v>41</v>
      </c>
    </row>
    <row r="171" spans="1:10" x14ac:dyDescent="0.25">
      <c r="A171" s="4" t="s">
        <v>456</v>
      </c>
      <c r="B171" s="4" t="s">
        <v>457</v>
      </c>
      <c r="C171" s="4" t="s">
        <v>134</v>
      </c>
      <c r="D171" s="4">
        <v>167.71</v>
      </c>
      <c r="E171" s="4">
        <v>93934370816</v>
      </c>
      <c r="F171" s="4">
        <v>36.698032</v>
      </c>
      <c r="G171" s="4">
        <v>6057999872</v>
      </c>
      <c r="H171" s="4">
        <v>78</v>
      </c>
      <c r="I171" s="4" t="s">
        <v>40</v>
      </c>
      <c r="J171" s="4" t="s">
        <v>41</v>
      </c>
    </row>
    <row r="172" spans="1:10" x14ac:dyDescent="0.25">
      <c r="A172" s="4" t="s">
        <v>458</v>
      </c>
      <c r="B172" s="4" t="s">
        <v>459</v>
      </c>
      <c r="C172" s="4" t="s">
        <v>155</v>
      </c>
      <c r="D172" s="4">
        <v>24.99</v>
      </c>
      <c r="E172" s="4">
        <v>3293637632</v>
      </c>
      <c r="F172" s="4">
        <v>29.75</v>
      </c>
      <c r="G172" s="4">
        <v>191792000</v>
      </c>
      <c r="H172" s="4">
        <v>90</v>
      </c>
      <c r="I172" s="4" t="s">
        <v>40</v>
      </c>
      <c r="J172" s="4" t="s">
        <v>41</v>
      </c>
    </row>
    <row r="173" spans="1:10" x14ac:dyDescent="0.25">
      <c r="A173" s="4" t="s">
        <v>460</v>
      </c>
      <c r="B173" s="4" t="s">
        <v>461</v>
      </c>
      <c r="C173" s="4" t="s">
        <v>91</v>
      </c>
      <c r="D173" s="4">
        <v>107.88</v>
      </c>
      <c r="E173" s="4">
        <v>51542630400</v>
      </c>
      <c r="F173" s="4">
        <v>27.732647</v>
      </c>
      <c r="G173" s="4">
        <v>5538091008</v>
      </c>
      <c r="H173" s="4">
        <v>9</v>
      </c>
      <c r="I173" s="4" t="s">
        <v>40</v>
      </c>
      <c r="J173" s="4" t="s">
        <v>41</v>
      </c>
    </row>
    <row r="174" spans="1:10" x14ac:dyDescent="0.25">
      <c r="A174" s="4" t="s">
        <v>462</v>
      </c>
      <c r="B174" s="4" t="s">
        <v>463</v>
      </c>
      <c r="C174" s="4" t="s">
        <v>149</v>
      </c>
      <c r="D174" s="4">
        <v>160.92</v>
      </c>
      <c r="E174" s="4">
        <v>85710585856</v>
      </c>
      <c r="F174" s="4">
        <v>12.522957</v>
      </c>
      <c r="G174" s="4">
        <v>14494999552</v>
      </c>
      <c r="H174" s="4">
        <v>53</v>
      </c>
      <c r="I174" s="4" t="s">
        <v>40</v>
      </c>
      <c r="J174" s="4" t="s">
        <v>41</v>
      </c>
    </row>
    <row r="175" spans="1:10" x14ac:dyDescent="0.25">
      <c r="A175" s="4" t="s">
        <v>464</v>
      </c>
      <c r="B175" s="4" t="s">
        <v>465</v>
      </c>
      <c r="C175" s="4" t="s">
        <v>53</v>
      </c>
      <c r="D175" s="4">
        <v>136.23</v>
      </c>
      <c r="E175" s="4">
        <v>7027694080</v>
      </c>
      <c r="F175" s="4">
        <v>18.091633</v>
      </c>
      <c r="G175" s="4">
        <v>753348992</v>
      </c>
      <c r="H175" s="4">
        <v>58</v>
      </c>
      <c r="I175" s="4" t="s">
        <v>40</v>
      </c>
      <c r="J175" s="4" t="s">
        <v>41</v>
      </c>
    </row>
    <row r="176" spans="1:10" x14ac:dyDescent="0.25">
      <c r="A176" s="4" t="s">
        <v>466</v>
      </c>
      <c r="B176" s="4" t="s">
        <v>467</v>
      </c>
      <c r="C176" s="4" t="s">
        <v>149</v>
      </c>
      <c r="D176" s="4">
        <v>56.22</v>
      </c>
      <c r="E176" s="4">
        <v>35168391168</v>
      </c>
      <c r="F176" s="4">
        <v>13.044084</v>
      </c>
      <c r="G176" s="4">
        <v>6995361792</v>
      </c>
      <c r="H176" s="4">
        <v>50</v>
      </c>
      <c r="I176" s="4" t="s">
        <v>40</v>
      </c>
      <c r="J176" s="4" t="s">
        <v>41</v>
      </c>
    </row>
    <row r="177" spans="1:10" x14ac:dyDescent="0.25">
      <c r="A177" s="4" t="s">
        <v>468</v>
      </c>
      <c r="B177" s="4" t="s">
        <v>469</v>
      </c>
      <c r="C177" s="4" t="s">
        <v>470</v>
      </c>
      <c r="D177" s="4">
        <v>176.03</v>
      </c>
      <c r="E177" s="4">
        <v>20680865792</v>
      </c>
      <c r="F177" s="4">
        <v>28.437803</v>
      </c>
      <c r="G177" s="4">
        <v>2026599936</v>
      </c>
      <c r="I177" s="4" t="s">
        <v>40</v>
      </c>
      <c r="J177" s="4" t="s">
        <v>41</v>
      </c>
    </row>
    <row r="178" spans="1:10" x14ac:dyDescent="0.25">
      <c r="A178" s="4" t="s">
        <v>471</v>
      </c>
      <c r="B178" s="4" t="s">
        <v>472</v>
      </c>
      <c r="C178" s="4" t="s">
        <v>416</v>
      </c>
      <c r="D178" s="4">
        <v>1007.66</v>
      </c>
      <c r="E178" s="4">
        <v>99427508224</v>
      </c>
      <c r="F178" s="4">
        <v>64.84299</v>
      </c>
      <c r="G178" s="4">
        <v>4540000256</v>
      </c>
      <c r="I178" s="4" t="s">
        <v>40</v>
      </c>
      <c r="J178" s="4" t="s">
        <v>41</v>
      </c>
    </row>
    <row r="179" spans="1:10" x14ac:dyDescent="0.25">
      <c r="A179" s="4" t="s">
        <v>473</v>
      </c>
      <c r="B179" s="4" t="s">
        <v>474</v>
      </c>
      <c r="C179" s="4" t="s">
        <v>187</v>
      </c>
      <c r="D179" s="4">
        <v>63.66</v>
      </c>
      <c r="E179" s="4">
        <v>24609972224</v>
      </c>
      <c r="F179" s="4">
        <v>28.675674</v>
      </c>
      <c r="G179" s="4">
        <v>1890653056</v>
      </c>
      <c r="I179" s="4" t="s">
        <v>40</v>
      </c>
      <c r="J179" s="4" t="s">
        <v>41</v>
      </c>
    </row>
    <row r="180" spans="1:10" x14ac:dyDescent="0.25">
      <c r="A180" s="4" t="s">
        <v>475</v>
      </c>
      <c r="B180" s="4" t="s">
        <v>476</v>
      </c>
      <c r="C180" s="4" t="s">
        <v>146</v>
      </c>
      <c r="D180" s="4">
        <v>246.39</v>
      </c>
      <c r="E180" s="4">
        <v>12883700736</v>
      </c>
      <c r="F180" s="4">
        <v>22.378746</v>
      </c>
      <c r="G180" s="4">
        <v>834972032</v>
      </c>
      <c r="I180" s="4" t="s">
        <v>40</v>
      </c>
      <c r="J180" s="4" t="s">
        <v>41</v>
      </c>
    </row>
    <row r="181" spans="1:10" x14ac:dyDescent="0.25">
      <c r="A181" s="4" t="s">
        <v>477</v>
      </c>
      <c r="B181" s="4" t="s">
        <v>478</v>
      </c>
      <c r="C181" s="4" t="s">
        <v>187</v>
      </c>
      <c r="D181" s="4">
        <v>261.42</v>
      </c>
      <c r="E181" s="4">
        <v>18018686976</v>
      </c>
      <c r="F181" s="4">
        <v>42.71569</v>
      </c>
      <c r="G181" s="4">
        <v>1230545024</v>
      </c>
      <c r="I181" s="4" t="s">
        <v>40</v>
      </c>
      <c r="J181" s="4" t="s">
        <v>41</v>
      </c>
    </row>
    <row r="182" spans="1:10" x14ac:dyDescent="0.25">
      <c r="A182" s="4" t="s">
        <v>479</v>
      </c>
      <c r="B182" s="4" t="s">
        <v>480</v>
      </c>
      <c r="C182" s="4" t="s">
        <v>481</v>
      </c>
      <c r="D182" s="4">
        <v>109.31</v>
      </c>
      <c r="E182" s="4">
        <v>39605501952</v>
      </c>
      <c r="F182" s="4">
        <v>218.62</v>
      </c>
      <c r="G182" s="4">
        <v>2455000064</v>
      </c>
      <c r="I182" s="4" t="s">
        <v>40</v>
      </c>
      <c r="J182" s="4" t="s">
        <v>41</v>
      </c>
    </row>
    <row r="183" spans="1:10" x14ac:dyDescent="0.25">
      <c r="A183" s="4" t="s">
        <v>482</v>
      </c>
      <c r="B183" s="4" t="s">
        <v>483</v>
      </c>
      <c r="C183" s="4" t="s">
        <v>484</v>
      </c>
      <c r="D183" s="4">
        <v>386.88</v>
      </c>
      <c r="E183" s="4">
        <v>14834037760</v>
      </c>
      <c r="F183" s="4">
        <v>8.271969</v>
      </c>
      <c r="I183" s="4" t="s">
        <v>40</v>
      </c>
      <c r="J183" s="4" t="s">
        <v>41</v>
      </c>
    </row>
    <row r="184" spans="1:10" x14ac:dyDescent="0.25">
      <c r="A184" s="4" t="s">
        <v>485</v>
      </c>
      <c r="B184" s="4" t="s">
        <v>486</v>
      </c>
      <c r="C184" s="4" t="s">
        <v>91</v>
      </c>
      <c r="D184" s="4">
        <v>84.25</v>
      </c>
      <c r="E184" s="4">
        <v>19425284096</v>
      </c>
      <c r="F184" s="4">
        <v>21.713917</v>
      </c>
      <c r="G184" s="4">
        <v>2840399872</v>
      </c>
      <c r="H184" s="4">
        <v>51</v>
      </c>
      <c r="I184" s="4" t="s">
        <v>40</v>
      </c>
      <c r="J184" s="4" t="s">
        <v>41</v>
      </c>
    </row>
    <row r="185" spans="1:10" x14ac:dyDescent="0.25">
      <c r="A185" s="4" t="s">
        <v>487</v>
      </c>
      <c r="B185" s="4" t="s">
        <v>488</v>
      </c>
      <c r="C185" s="4" t="s">
        <v>91</v>
      </c>
      <c r="D185" s="4">
        <v>66.9</v>
      </c>
      <c r="E185" s="4">
        <v>25199542272</v>
      </c>
      <c r="F185" s="4">
        <v>17.331608</v>
      </c>
      <c r="G185" s="4">
        <v>4933026816</v>
      </c>
      <c r="H185" s="4">
        <v>83</v>
      </c>
      <c r="I185" s="4" t="s">
        <v>40</v>
      </c>
      <c r="J185" s="4" t="s">
        <v>41</v>
      </c>
    </row>
    <row r="186" spans="1:10" x14ac:dyDescent="0.25">
      <c r="A186" s="4" t="s">
        <v>489</v>
      </c>
      <c r="B186" s="4" t="s">
        <v>490</v>
      </c>
      <c r="C186" s="4" t="s">
        <v>91</v>
      </c>
      <c r="D186" s="4">
        <v>44.77</v>
      </c>
      <c r="E186" s="4">
        <v>46124470272</v>
      </c>
      <c r="F186" s="4">
        <v>16.459558</v>
      </c>
      <c r="G186" s="4">
        <v>8354999808</v>
      </c>
      <c r="H186" s="4">
        <v>85</v>
      </c>
      <c r="I186" s="4" t="s">
        <v>40</v>
      </c>
      <c r="J186" s="4" t="s">
        <v>41</v>
      </c>
    </row>
    <row r="187" spans="1:10" x14ac:dyDescent="0.25">
      <c r="A187" s="4" t="s">
        <v>491</v>
      </c>
      <c r="B187" s="4" t="s">
        <v>492</v>
      </c>
      <c r="C187" s="4" t="s">
        <v>74</v>
      </c>
      <c r="D187" s="4">
        <v>275.53</v>
      </c>
      <c r="E187" s="4">
        <v>33068929024</v>
      </c>
      <c r="F187" s="4">
        <v>17.372637</v>
      </c>
      <c r="G187" s="4">
        <v>2889999872</v>
      </c>
      <c r="H187" s="4">
        <v>51</v>
      </c>
      <c r="I187" s="4" t="s">
        <v>40</v>
      </c>
      <c r="J187" s="4" t="s">
        <v>41</v>
      </c>
    </row>
    <row r="188" spans="1:10" x14ac:dyDescent="0.25">
      <c r="A188" s="4" t="s">
        <v>493</v>
      </c>
      <c r="B188" s="4" t="s">
        <v>494</v>
      </c>
      <c r="C188" s="4" t="s">
        <v>251</v>
      </c>
      <c r="D188" s="4">
        <v>197.15</v>
      </c>
      <c r="E188" s="4">
        <v>25627650048</v>
      </c>
      <c r="F188" s="4">
        <v>28.697233</v>
      </c>
      <c r="G188" s="4">
        <v>1263714048</v>
      </c>
      <c r="I188" s="4" t="s">
        <v>40</v>
      </c>
      <c r="J188" s="4" t="s">
        <v>41</v>
      </c>
    </row>
    <row r="189" spans="1:10" x14ac:dyDescent="0.25">
      <c r="A189" s="4" t="s">
        <v>495</v>
      </c>
      <c r="B189" s="4" t="s">
        <v>496</v>
      </c>
      <c r="C189" s="4" t="s">
        <v>497</v>
      </c>
      <c r="D189" s="4">
        <v>144.75</v>
      </c>
      <c r="E189" s="4">
        <v>31946692608</v>
      </c>
      <c r="F189" s="4">
        <v>31.88326</v>
      </c>
      <c r="G189" s="4">
        <v>2310663936</v>
      </c>
      <c r="I189" s="4" t="s">
        <v>40</v>
      </c>
      <c r="J189" s="4" t="s">
        <v>41</v>
      </c>
    </row>
    <row r="190" spans="1:10" x14ac:dyDescent="0.25">
      <c r="A190" s="4" t="s">
        <v>498</v>
      </c>
      <c r="B190" s="4" t="s">
        <v>499</v>
      </c>
      <c r="C190" s="4" t="s">
        <v>308</v>
      </c>
      <c r="D190" s="4">
        <v>182.02</v>
      </c>
      <c r="E190" s="4">
        <v>748450217984</v>
      </c>
      <c r="F190" s="4">
        <v>23.15776</v>
      </c>
      <c r="G190" s="4">
        <v>67937001472</v>
      </c>
      <c r="I190" s="4" t="s">
        <v>40</v>
      </c>
      <c r="J190" s="4" t="s">
        <v>41</v>
      </c>
    </row>
    <row r="191" spans="1:10" x14ac:dyDescent="0.25">
      <c r="A191" s="4" t="s">
        <v>500</v>
      </c>
      <c r="B191" s="4" t="s">
        <v>501</v>
      </c>
      <c r="C191" s="4" t="s">
        <v>166</v>
      </c>
      <c r="D191" s="4">
        <v>365.53</v>
      </c>
      <c r="E191" s="4">
        <v>20698935296</v>
      </c>
      <c r="F191" s="4">
        <v>36.810673</v>
      </c>
      <c r="G191" s="4">
        <v>923304000</v>
      </c>
      <c r="I191" s="4" t="s">
        <v>40</v>
      </c>
      <c r="J191" s="4" t="s">
        <v>41</v>
      </c>
    </row>
    <row r="192" spans="1:10" x14ac:dyDescent="0.25">
      <c r="A192" s="4" t="s">
        <v>502</v>
      </c>
      <c r="B192" s="4" t="s">
        <v>503</v>
      </c>
      <c r="C192" s="4" t="s">
        <v>280</v>
      </c>
      <c r="D192" s="4">
        <v>312.68</v>
      </c>
      <c r="E192" s="4">
        <v>11028183040</v>
      </c>
      <c r="F192" s="4">
        <v>21.460535</v>
      </c>
      <c r="G192" s="4">
        <v>900307968</v>
      </c>
      <c r="I192" s="4" t="s">
        <v>40</v>
      </c>
      <c r="J192" s="4" t="s">
        <v>41</v>
      </c>
    </row>
    <row r="193" spans="1:10" x14ac:dyDescent="0.25">
      <c r="A193" s="4" t="s">
        <v>504</v>
      </c>
      <c r="B193" s="4" t="s">
        <v>505</v>
      </c>
      <c r="C193" s="4" t="s">
        <v>56</v>
      </c>
      <c r="D193" s="4">
        <v>698.18</v>
      </c>
      <c r="E193" s="4">
        <v>15079036928</v>
      </c>
      <c r="F193" s="4">
        <v>20.213665</v>
      </c>
      <c r="G193" s="4">
        <v>1263363968</v>
      </c>
      <c r="H193" s="4">
        <v>73</v>
      </c>
      <c r="I193" s="4" t="s">
        <v>40</v>
      </c>
      <c r="J193" s="4" t="s">
        <v>41</v>
      </c>
    </row>
    <row r="194" spans="1:10" x14ac:dyDescent="0.25">
      <c r="A194" s="4" t="s">
        <v>506</v>
      </c>
      <c r="B194" s="4" t="s">
        <v>507</v>
      </c>
      <c r="C194" s="4" t="s">
        <v>508</v>
      </c>
      <c r="D194" s="4">
        <v>51.45</v>
      </c>
      <c r="E194" s="4">
        <v>59028664320</v>
      </c>
      <c r="F194" s="4">
        <v>41.82927</v>
      </c>
      <c r="G194" s="4">
        <v>2044099968</v>
      </c>
      <c r="I194" s="4" t="s">
        <v>40</v>
      </c>
      <c r="J194" s="4" t="s">
        <v>41</v>
      </c>
    </row>
    <row r="195" spans="1:10" x14ac:dyDescent="0.25">
      <c r="A195" s="4" t="s">
        <v>509</v>
      </c>
      <c r="B195" s="4" t="s">
        <v>510</v>
      </c>
      <c r="C195" s="4" t="s">
        <v>511</v>
      </c>
      <c r="D195" s="4">
        <v>108.24</v>
      </c>
      <c r="E195" s="4">
        <v>9408047104</v>
      </c>
      <c r="F195" s="4">
        <v>22.13497</v>
      </c>
      <c r="G195" s="4">
        <v>837700992</v>
      </c>
      <c r="I195" s="4" t="s">
        <v>40</v>
      </c>
      <c r="J195" s="4" t="s">
        <v>41</v>
      </c>
    </row>
    <row r="196" spans="1:10" x14ac:dyDescent="0.25">
      <c r="A196" s="4" t="s">
        <v>512</v>
      </c>
      <c r="B196" s="4" t="s">
        <v>513</v>
      </c>
      <c r="C196" s="4" t="s">
        <v>251</v>
      </c>
      <c r="D196" s="4">
        <v>304.58</v>
      </c>
      <c r="E196" s="4">
        <v>72085078016</v>
      </c>
      <c r="F196" s="4">
        <v>16.55326</v>
      </c>
      <c r="G196" s="4">
        <v>11843999744</v>
      </c>
      <c r="I196" s="4" t="s">
        <v>40</v>
      </c>
      <c r="J196" s="4" t="s">
        <v>41</v>
      </c>
    </row>
    <row r="197" spans="1:10" x14ac:dyDescent="0.25">
      <c r="A197" s="4" t="s">
        <v>514</v>
      </c>
      <c r="B197" s="4" t="s">
        <v>515</v>
      </c>
      <c r="C197" s="4" t="s">
        <v>364</v>
      </c>
      <c r="D197" s="4">
        <v>36.48</v>
      </c>
      <c r="E197" s="4">
        <v>18855749632</v>
      </c>
      <c r="F197" s="4">
        <v>5.6036863</v>
      </c>
      <c r="G197" s="4">
        <v>3524000000</v>
      </c>
      <c r="H197" s="4">
        <v>87</v>
      </c>
      <c r="I197" s="4" t="s">
        <v>40</v>
      </c>
      <c r="J197" s="4" t="s">
        <v>41</v>
      </c>
    </row>
    <row r="198" spans="1:10" x14ac:dyDescent="0.25">
      <c r="A198" s="4" t="s">
        <v>516</v>
      </c>
      <c r="B198" s="4" t="s">
        <v>517</v>
      </c>
      <c r="C198" s="4" t="s">
        <v>330</v>
      </c>
      <c r="D198" s="4">
        <v>53.47</v>
      </c>
      <c r="E198" s="4">
        <v>48474460160</v>
      </c>
      <c r="F198" s="4">
        <v>18.003366</v>
      </c>
      <c r="I198" s="4" t="s">
        <v>40</v>
      </c>
      <c r="J198" s="4" t="s">
        <v>41</v>
      </c>
    </row>
    <row r="199" spans="1:10" x14ac:dyDescent="0.25">
      <c r="A199" s="4" t="s">
        <v>518</v>
      </c>
      <c r="B199" s="4" t="s">
        <v>519</v>
      </c>
      <c r="C199" s="4" t="s">
        <v>59</v>
      </c>
      <c r="D199" s="4">
        <v>176.3</v>
      </c>
      <c r="E199" s="4">
        <v>18946924544</v>
      </c>
      <c r="F199" s="4">
        <v>10.842559</v>
      </c>
      <c r="G199" s="4">
        <v>2385900032</v>
      </c>
      <c r="H199" s="4">
        <v>96</v>
      </c>
      <c r="I199" s="4" t="s">
        <v>40</v>
      </c>
      <c r="J199" s="4" t="s">
        <v>41</v>
      </c>
    </row>
    <row r="200" spans="1:10" x14ac:dyDescent="0.25">
      <c r="A200" s="4" t="s">
        <v>520</v>
      </c>
      <c r="B200" s="4" t="s">
        <v>521</v>
      </c>
      <c r="C200" s="4" t="s">
        <v>91</v>
      </c>
      <c r="D200" s="4">
        <v>46.4</v>
      </c>
      <c r="E200" s="4">
        <v>26839207936</v>
      </c>
      <c r="F200" s="4">
        <v>24.812836</v>
      </c>
      <c r="G200" s="4">
        <v>5422000128</v>
      </c>
      <c r="H200" s="4">
        <v>46</v>
      </c>
      <c r="I200" s="4" t="s">
        <v>40</v>
      </c>
      <c r="J200" s="4" t="s">
        <v>41</v>
      </c>
    </row>
    <row r="201" spans="1:10" x14ac:dyDescent="0.25">
      <c r="A201" s="4" t="s">
        <v>522</v>
      </c>
      <c r="B201" s="4" t="s">
        <v>523</v>
      </c>
      <c r="C201" s="4" t="s">
        <v>364</v>
      </c>
      <c r="I201" s="4" t="s">
        <v>40</v>
      </c>
      <c r="J201" s="4" t="s">
        <v>41</v>
      </c>
    </row>
    <row r="202" spans="1:10" x14ac:dyDescent="0.25">
      <c r="A202" s="4" t="s">
        <v>524</v>
      </c>
      <c r="B202" s="4" t="s">
        <v>525</v>
      </c>
      <c r="C202" s="4" t="s">
        <v>297</v>
      </c>
      <c r="D202" s="4">
        <v>4.47</v>
      </c>
      <c r="E202" s="4">
        <v>695290560</v>
      </c>
      <c r="G202" s="4">
        <v>269300000</v>
      </c>
      <c r="I202" s="4" t="s">
        <v>40</v>
      </c>
      <c r="J202" s="4" t="s">
        <v>41</v>
      </c>
    </row>
    <row r="203" spans="1:10" x14ac:dyDescent="0.25">
      <c r="A203" s="4" t="s">
        <v>526</v>
      </c>
      <c r="B203" s="4" t="s">
        <v>527</v>
      </c>
      <c r="C203" s="4" t="s">
        <v>528</v>
      </c>
      <c r="D203" s="4">
        <v>11.95</v>
      </c>
      <c r="E203" s="4">
        <v>47651770368</v>
      </c>
      <c r="G203" s="4">
        <v>7642999808</v>
      </c>
      <c r="I203" s="4" t="s">
        <v>40</v>
      </c>
      <c r="J203" s="4" t="s">
        <v>41</v>
      </c>
    </row>
    <row r="204" spans="1:10" x14ac:dyDescent="0.25">
      <c r="A204" s="4" t="s">
        <v>529</v>
      </c>
      <c r="B204" s="4" t="s">
        <v>530</v>
      </c>
      <c r="C204" s="4" t="s">
        <v>376</v>
      </c>
      <c r="D204" s="4">
        <v>174.08</v>
      </c>
      <c r="E204" s="4">
        <v>127724879872</v>
      </c>
      <c r="F204" s="4">
        <v>61.51237</v>
      </c>
      <c r="G204" s="4">
        <v>2595800064</v>
      </c>
      <c r="H204" s="4">
        <v>58</v>
      </c>
      <c r="I204" s="4" t="s">
        <v>40</v>
      </c>
      <c r="J204" s="4" t="s">
        <v>41</v>
      </c>
    </row>
    <row r="205" spans="1:10" x14ac:dyDescent="0.25">
      <c r="A205" s="4" t="s">
        <v>531</v>
      </c>
      <c r="B205" s="4" t="s">
        <v>532</v>
      </c>
      <c r="C205" s="4" t="s">
        <v>429</v>
      </c>
      <c r="D205" s="4">
        <v>64.11</v>
      </c>
      <c r="E205" s="4">
        <v>19544639488</v>
      </c>
      <c r="F205" s="4">
        <v>32.378788</v>
      </c>
      <c r="G205" s="4">
        <v>1234599936</v>
      </c>
      <c r="H205" s="4">
        <v>31</v>
      </c>
      <c r="I205" s="4" t="s">
        <v>40</v>
      </c>
      <c r="J205" s="4" t="s">
        <v>41</v>
      </c>
    </row>
    <row r="206" spans="1:10" x14ac:dyDescent="0.25">
      <c r="A206" s="4" t="s">
        <v>533</v>
      </c>
      <c r="B206" s="4" t="s">
        <v>534</v>
      </c>
      <c r="C206" s="4" t="s">
        <v>535</v>
      </c>
      <c r="D206" s="4">
        <v>63.39</v>
      </c>
      <c r="E206" s="4">
        <v>26729891840</v>
      </c>
      <c r="F206" s="4">
        <v>16.814323</v>
      </c>
      <c r="G206" s="4">
        <v>3881999872</v>
      </c>
      <c r="I206" s="4" t="s">
        <v>40</v>
      </c>
      <c r="J206" s="4" t="s">
        <v>41</v>
      </c>
    </row>
    <row r="207" spans="1:10" x14ac:dyDescent="0.25">
      <c r="A207" s="4" t="s">
        <v>536</v>
      </c>
      <c r="B207" s="4" t="s">
        <v>537</v>
      </c>
      <c r="C207" s="4" t="s">
        <v>535</v>
      </c>
      <c r="D207" s="4">
        <v>56.35</v>
      </c>
      <c r="E207" s="4">
        <v>23761307648</v>
      </c>
      <c r="F207" s="4">
        <v>14.946949</v>
      </c>
      <c r="G207" s="4">
        <v>3881999872</v>
      </c>
      <c r="I207" s="4" t="s">
        <v>40</v>
      </c>
      <c r="J207" s="4" t="s">
        <v>41</v>
      </c>
    </row>
    <row r="208" spans="1:10" x14ac:dyDescent="0.25">
      <c r="A208" s="4" t="s">
        <v>538</v>
      </c>
      <c r="B208" s="4" t="s">
        <v>539</v>
      </c>
      <c r="C208" s="4" t="s">
        <v>131</v>
      </c>
      <c r="D208" s="4">
        <v>31.73</v>
      </c>
      <c r="E208" s="4">
        <v>16121279488</v>
      </c>
      <c r="F208" s="4">
        <v>21.585033</v>
      </c>
      <c r="G208" s="4">
        <v>1799100032</v>
      </c>
      <c r="I208" s="4" t="s">
        <v>40</v>
      </c>
      <c r="J208" s="4" t="s">
        <v>41</v>
      </c>
    </row>
    <row r="209" spans="1:10" x14ac:dyDescent="0.25">
      <c r="A209" s="4" t="s">
        <v>540</v>
      </c>
      <c r="B209" s="4" t="s">
        <v>541</v>
      </c>
      <c r="C209" s="4" t="s">
        <v>542</v>
      </c>
      <c r="D209" s="4">
        <v>66.6</v>
      </c>
      <c r="E209" s="4">
        <v>95638765568</v>
      </c>
      <c r="F209" s="4">
        <v>27.749998</v>
      </c>
      <c r="G209" s="4">
        <v>8984000512</v>
      </c>
      <c r="I209" s="4" t="s">
        <v>40</v>
      </c>
      <c r="J209" s="4" t="s">
        <v>41</v>
      </c>
    </row>
    <row r="210" spans="1:10" x14ac:dyDescent="0.25">
      <c r="A210" s="4" t="s">
        <v>543</v>
      </c>
      <c r="B210" s="4" t="s">
        <v>544</v>
      </c>
      <c r="C210" s="4" t="s">
        <v>545</v>
      </c>
      <c r="D210" s="4">
        <v>272.51</v>
      </c>
      <c r="E210" s="4">
        <v>52555247616</v>
      </c>
      <c r="F210" s="4">
        <v>29.847755</v>
      </c>
      <c r="G210" s="4">
        <v>2311467008</v>
      </c>
      <c r="I210" s="4" t="s">
        <v>40</v>
      </c>
      <c r="J210" s="4" t="s">
        <v>41</v>
      </c>
    </row>
    <row r="211" spans="1:10" x14ac:dyDescent="0.25">
      <c r="A211" s="4" t="s">
        <v>546</v>
      </c>
      <c r="B211" s="4" t="s">
        <v>547</v>
      </c>
      <c r="C211" s="4" t="s">
        <v>53</v>
      </c>
      <c r="D211" s="4">
        <v>219.16</v>
      </c>
      <c r="E211" s="4">
        <v>13839729664</v>
      </c>
      <c r="F211" s="4">
        <v>19.978123</v>
      </c>
      <c r="G211" s="4">
        <v>1383901056</v>
      </c>
      <c r="H211" s="4">
        <v>38</v>
      </c>
      <c r="I211" s="4" t="s">
        <v>40</v>
      </c>
      <c r="J211" s="4" t="s">
        <v>41</v>
      </c>
    </row>
    <row r="212" spans="1:10" x14ac:dyDescent="0.25">
      <c r="A212" s="4" t="s">
        <v>548</v>
      </c>
      <c r="B212" s="4" t="s">
        <v>549</v>
      </c>
      <c r="C212" s="4" t="s">
        <v>192</v>
      </c>
      <c r="D212" s="4">
        <v>301.13</v>
      </c>
      <c r="E212" s="4">
        <v>312441208832</v>
      </c>
      <c r="F212" s="4">
        <v>34.02599</v>
      </c>
      <c r="G212" s="4">
        <v>11616000000</v>
      </c>
      <c r="H212" s="4">
        <v>29</v>
      </c>
      <c r="I212" s="4" t="s">
        <v>40</v>
      </c>
      <c r="J212" s="4" t="s">
        <v>41</v>
      </c>
    </row>
    <row r="213" spans="1:10" x14ac:dyDescent="0.25">
      <c r="A213" s="4" t="s">
        <v>550</v>
      </c>
      <c r="B213" s="4" t="s">
        <v>551</v>
      </c>
      <c r="C213" s="4" t="s">
        <v>47</v>
      </c>
      <c r="D213" s="4">
        <v>75.82</v>
      </c>
      <c r="E213" s="4">
        <v>34489892864</v>
      </c>
      <c r="F213" s="4">
        <v>16.340517</v>
      </c>
      <c r="G213" s="4">
        <v>3592999936</v>
      </c>
      <c r="H213" s="4">
        <v>91</v>
      </c>
      <c r="I213" s="4" t="s">
        <v>40</v>
      </c>
      <c r="J213" s="4" t="s">
        <v>41</v>
      </c>
    </row>
    <row r="214" spans="1:10" x14ac:dyDescent="0.25">
      <c r="A214" s="4" t="s">
        <v>552</v>
      </c>
      <c r="B214" s="4" t="s">
        <v>553</v>
      </c>
      <c r="C214" s="4" t="s">
        <v>554</v>
      </c>
      <c r="D214" s="4">
        <v>878.03</v>
      </c>
      <c r="E214" s="4">
        <v>233848881152</v>
      </c>
      <c r="F214" s="4">
        <v>25.172878</v>
      </c>
      <c r="G214" s="4">
        <v>3927000064</v>
      </c>
      <c r="I214" s="4" t="s">
        <v>40</v>
      </c>
      <c r="J214" s="4" t="s">
        <v>41</v>
      </c>
    </row>
    <row r="215" spans="1:10" x14ac:dyDescent="0.25">
      <c r="A215" s="4" t="s">
        <v>555</v>
      </c>
      <c r="B215" s="4" t="s">
        <v>556</v>
      </c>
      <c r="C215" s="4" t="s">
        <v>376</v>
      </c>
      <c r="D215" s="4">
        <v>24.35</v>
      </c>
      <c r="E215" s="4">
        <v>14575593472</v>
      </c>
      <c r="F215" s="4">
        <v>14.156977</v>
      </c>
      <c r="G215" s="4">
        <v>2409999872</v>
      </c>
      <c r="H215" s="4">
        <v>92</v>
      </c>
      <c r="I215" s="4" t="s">
        <v>40</v>
      </c>
      <c r="J215" s="4" t="s">
        <v>41</v>
      </c>
    </row>
    <row r="216" spans="1:10" x14ac:dyDescent="0.25">
      <c r="A216" s="4" t="s">
        <v>557</v>
      </c>
      <c r="B216" s="4" t="s">
        <v>558</v>
      </c>
      <c r="C216" s="4" t="s">
        <v>134</v>
      </c>
      <c r="D216" s="4">
        <v>201.34</v>
      </c>
      <c r="E216" s="4">
        <v>11891932160</v>
      </c>
      <c r="F216" s="4">
        <v>46.285057</v>
      </c>
      <c r="G216" s="4">
        <v>636244992</v>
      </c>
      <c r="H216" s="4">
        <v>34</v>
      </c>
      <c r="I216" s="4" t="s">
        <v>40</v>
      </c>
      <c r="J216" s="4" t="s">
        <v>41</v>
      </c>
    </row>
    <row r="217" spans="1:10" x14ac:dyDescent="0.25">
      <c r="A217" s="4" t="s">
        <v>559</v>
      </c>
      <c r="B217" s="4" t="s">
        <v>560</v>
      </c>
      <c r="C217" s="4" t="s">
        <v>192</v>
      </c>
      <c r="D217" s="4">
        <v>354.35</v>
      </c>
      <c r="E217" s="4">
        <v>95871942656</v>
      </c>
      <c r="F217" s="4">
        <v>21.659534</v>
      </c>
      <c r="G217" s="4">
        <v>6632999936</v>
      </c>
      <c r="H217" s="4">
        <v>59</v>
      </c>
      <c r="I217" s="4" t="s">
        <v>40</v>
      </c>
      <c r="J217" s="4" t="s">
        <v>41</v>
      </c>
    </row>
    <row r="218" spans="1:10" x14ac:dyDescent="0.25">
      <c r="A218" s="4" t="s">
        <v>561</v>
      </c>
      <c r="B218" s="4" t="s">
        <v>562</v>
      </c>
      <c r="C218" s="4" t="s">
        <v>261</v>
      </c>
      <c r="D218" s="4">
        <v>33.05</v>
      </c>
      <c r="E218" s="4">
        <v>17671409664</v>
      </c>
      <c r="G218" s="4">
        <v>3415000064</v>
      </c>
      <c r="I218" s="4" t="s">
        <v>40</v>
      </c>
      <c r="J218" s="4" t="s">
        <v>41</v>
      </c>
    </row>
    <row r="219" spans="1:10" x14ac:dyDescent="0.25">
      <c r="A219" s="4" t="s">
        <v>563</v>
      </c>
      <c r="B219" s="4" t="s">
        <v>564</v>
      </c>
      <c r="C219" s="4" t="s">
        <v>528</v>
      </c>
      <c r="D219" s="4">
        <v>82.48</v>
      </c>
      <c r="E219" s="4">
        <v>70025519104</v>
      </c>
      <c r="F219" s="4">
        <v>17.623934</v>
      </c>
      <c r="G219" s="4">
        <v>18816999424</v>
      </c>
      <c r="I219" s="4" t="s">
        <v>40</v>
      </c>
      <c r="J219" s="4" t="s">
        <v>41</v>
      </c>
    </row>
    <row r="220" spans="1:10" x14ac:dyDescent="0.25">
      <c r="A220" s="4" t="s">
        <v>565</v>
      </c>
      <c r="B220" s="4" t="s">
        <v>566</v>
      </c>
      <c r="C220" s="4" t="s">
        <v>567</v>
      </c>
      <c r="D220" s="4">
        <v>121.39</v>
      </c>
      <c r="E220" s="4">
        <v>16734795776</v>
      </c>
      <c r="F220" s="4">
        <v>466.88464</v>
      </c>
      <c r="G220" s="4">
        <v>2062473984</v>
      </c>
      <c r="I220" s="4" t="s">
        <v>40</v>
      </c>
      <c r="J220" s="4" t="s">
        <v>41</v>
      </c>
    </row>
    <row r="221" spans="1:10" x14ac:dyDescent="0.25">
      <c r="A221" s="4" t="s">
        <v>568</v>
      </c>
      <c r="B221" s="4" t="s">
        <v>569</v>
      </c>
      <c r="C221" s="4" t="s">
        <v>50</v>
      </c>
      <c r="D221" s="4">
        <v>159.2</v>
      </c>
      <c r="E221" s="4">
        <v>197400870912</v>
      </c>
      <c r="G221" s="4">
        <v>14600999936</v>
      </c>
      <c r="I221" s="4" t="s">
        <v>40</v>
      </c>
      <c r="J221" s="4" t="s">
        <v>41</v>
      </c>
    </row>
    <row r="222" spans="1:10" x14ac:dyDescent="0.25">
      <c r="A222" s="4" t="s">
        <v>570</v>
      </c>
      <c r="B222" s="4" t="s">
        <v>571</v>
      </c>
      <c r="C222" s="4" t="s">
        <v>364</v>
      </c>
      <c r="D222" s="4">
        <v>83.55</v>
      </c>
      <c r="E222" s="4">
        <v>22108866560</v>
      </c>
      <c r="F222" s="4">
        <v>39.225353</v>
      </c>
      <c r="G222" s="4">
        <v>4482187776</v>
      </c>
      <c r="H222" s="4">
        <v>41</v>
      </c>
      <c r="I222" s="4" t="s">
        <v>40</v>
      </c>
      <c r="J222" s="4" t="s">
        <v>41</v>
      </c>
    </row>
    <row r="223" spans="1:10" x14ac:dyDescent="0.25">
      <c r="A223" s="4" t="s">
        <v>572</v>
      </c>
      <c r="B223" s="4" t="s">
        <v>573</v>
      </c>
      <c r="C223" s="4" t="s">
        <v>65</v>
      </c>
      <c r="D223" s="4">
        <v>158.37</v>
      </c>
      <c r="E223" s="4">
        <v>12170646528</v>
      </c>
      <c r="F223" s="4">
        <v>10.600402</v>
      </c>
      <c r="G223" s="4">
        <v>1652123008</v>
      </c>
      <c r="I223" s="4" t="s">
        <v>40</v>
      </c>
      <c r="J223" s="4" t="s">
        <v>41</v>
      </c>
    </row>
    <row r="224" spans="1:10" x14ac:dyDescent="0.25">
      <c r="A224" s="4" t="s">
        <v>574</v>
      </c>
      <c r="B224" s="4" t="s">
        <v>575</v>
      </c>
      <c r="C224" s="4" t="s">
        <v>77</v>
      </c>
      <c r="D224" s="4">
        <v>106.54</v>
      </c>
      <c r="E224" s="4">
        <v>13493046272</v>
      </c>
      <c r="F224" s="4">
        <v>15.854167</v>
      </c>
      <c r="G224" s="4">
        <v>1379000064</v>
      </c>
      <c r="I224" s="4" t="s">
        <v>40</v>
      </c>
      <c r="J224" s="4" t="s">
        <v>41</v>
      </c>
    </row>
    <row r="225" spans="1:10" x14ac:dyDescent="0.25">
      <c r="A225" s="4" t="s">
        <v>576</v>
      </c>
      <c r="B225" s="4" t="s">
        <v>577</v>
      </c>
      <c r="C225" s="4" t="s">
        <v>302</v>
      </c>
      <c r="D225" s="4">
        <v>925.17</v>
      </c>
      <c r="E225" s="4">
        <v>269383024640</v>
      </c>
      <c r="F225" s="4">
        <v>13.302228</v>
      </c>
      <c r="I225" s="4" t="s">
        <v>40</v>
      </c>
      <c r="J225" s="4" t="s">
        <v>41</v>
      </c>
    </row>
    <row r="226" spans="1:10" x14ac:dyDescent="0.25">
      <c r="A226" s="4" t="s">
        <v>578</v>
      </c>
      <c r="B226" s="4" t="s">
        <v>579</v>
      </c>
      <c r="C226" s="4" t="s">
        <v>195</v>
      </c>
      <c r="D226" s="4">
        <v>35.76</v>
      </c>
      <c r="E226" s="4">
        <v>29578037248</v>
      </c>
      <c r="F226" s="4">
        <v>15.025208</v>
      </c>
      <c r="G226" s="4">
        <v>4139000064</v>
      </c>
      <c r="I226" s="4" t="s">
        <v>40</v>
      </c>
      <c r="J226" s="4" t="s">
        <v>41</v>
      </c>
    </row>
    <row r="227" spans="1:10" x14ac:dyDescent="0.25">
      <c r="A227" s="4" t="s">
        <v>580</v>
      </c>
      <c r="B227" s="4" t="s">
        <v>581</v>
      </c>
      <c r="C227" s="4" t="s">
        <v>94</v>
      </c>
      <c r="D227" s="4">
        <v>130.04</v>
      </c>
      <c r="E227" s="4">
        <v>34774433792</v>
      </c>
      <c r="F227" s="4">
        <v>9.28194</v>
      </c>
      <c r="G227" s="4">
        <v>5957000192</v>
      </c>
      <c r="I227" s="4" t="s">
        <v>40</v>
      </c>
      <c r="J227" s="4" t="s">
        <v>41</v>
      </c>
    </row>
    <row r="228" spans="1:10" x14ac:dyDescent="0.25">
      <c r="A228" s="4" t="s">
        <v>582</v>
      </c>
      <c r="B228" s="4" t="s">
        <v>583</v>
      </c>
      <c r="C228" s="4" t="s">
        <v>584</v>
      </c>
      <c r="D228" s="4">
        <v>118.68</v>
      </c>
      <c r="E228" s="4">
        <v>16739156992</v>
      </c>
      <c r="F228" s="4">
        <v>17.687035</v>
      </c>
      <c r="G228" s="4">
        <v>1466800000</v>
      </c>
      <c r="I228" s="4" t="s">
        <v>40</v>
      </c>
      <c r="J228" s="4" t="s">
        <v>41</v>
      </c>
    </row>
    <row r="229" spans="1:10" x14ac:dyDescent="0.25">
      <c r="A229" s="4" t="s">
        <v>585</v>
      </c>
      <c r="B229" s="4" t="s">
        <v>586</v>
      </c>
      <c r="C229" s="4" t="s">
        <v>587</v>
      </c>
      <c r="D229" s="4">
        <v>463.22</v>
      </c>
      <c r="E229" s="4">
        <v>102760636416</v>
      </c>
      <c r="F229" s="4">
        <v>15.363848</v>
      </c>
      <c r="G229" s="4">
        <v>15790999552</v>
      </c>
      <c r="I229" s="4" t="s">
        <v>40</v>
      </c>
      <c r="J229" s="4" t="s">
        <v>41</v>
      </c>
    </row>
    <row r="230" spans="1:10" x14ac:dyDescent="0.25">
      <c r="A230" s="4" t="s">
        <v>588</v>
      </c>
      <c r="B230" s="4" t="s">
        <v>589</v>
      </c>
      <c r="C230" s="4" t="s">
        <v>590</v>
      </c>
      <c r="D230" s="4">
        <v>18.55</v>
      </c>
      <c r="E230" s="4">
        <v>13150970880</v>
      </c>
      <c r="F230" s="4">
        <v>53</v>
      </c>
      <c r="G230" s="4">
        <v>1570761984</v>
      </c>
      <c r="I230" s="4" t="s">
        <v>40</v>
      </c>
      <c r="J230" s="4" t="s">
        <v>41</v>
      </c>
    </row>
    <row r="231" spans="1:10" x14ac:dyDescent="0.25">
      <c r="A231" s="4" t="s">
        <v>591</v>
      </c>
      <c r="B231" s="4" t="s">
        <v>592</v>
      </c>
      <c r="C231" s="4" t="s">
        <v>266</v>
      </c>
      <c r="D231" s="4">
        <v>84.96</v>
      </c>
      <c r="E231" s="4">
        <v>9678367744</v>
      </c>
      <c r="F231" s="4">
        <v>24.769678</v>
      </c>
      <c r="G231" s="4">
        <v>1080000000</v>
      </c>
      <c r="I231" s="4" t="s">
        <v>40</v>
      </c>
      <c r="J231" s="4" t="s">
        <v>41</v>
      </c>
    </row>
    <row r="232" spans="1:10" x14ac:dyDescent="0.25">
      <c r="A232" s="4" t="s">
        <v>593</v>
      </c>
      <c r="B232" s="4" t="s">
        <v>594</v>
      </c>
      <c r="C232" s="4" t="s">
        <v>261</v>
      </c>
      <c r="D232" s="4">
        <v>163.77</v>
      </c>
      <c r="E232" s="4">
        <v>32905596928</v>
      </c>
      <c r="F232" s="4">
        <v>22.372952</v>
      </c>
      <c r="G232" s="4">
        <v>2721615872</v>
      </c>
      <c r="H232" s="4">
        <v>49</v>
      </c>
      <c r="I232" s="4" t="s">
        <v>40</v>
      </c>
      <c r="J232" s="4" t="s">
        <v>41</v>
      </c>
    </row>
    <row r="233" spans="1:10" x14ac:dyDescent="0.25">
      <c r="A233" s="4" t="s">
        <v>595</v>
      </c>
      <c r="B233" s="4" t="s">
        <v>596</v>
      </c>
      <c r="C233" s="4" t="s">
        <v>308</v>
      </c>
      <c r="I233" s="4" t="s">
        <v>40</v>
      </c>
      <c r="J233" s="4" t="s">
        <v>41</v>
      </c>
    </row>
    <row r="234" spans="1:10" x14ac:dyDescent="0.25">
      <c r="A234" s="4" t="s">
        <v>597</v>
      </c>
      <c r="B234" s="4" t="s">
        <v>598</v>
      </c>
      <c r="C234" s="4" t="s">
        <v>152</v>
      </c>
      <c r="D234" s="4">
        <v>60.33</v>
      </c>
      <c r="E234" s="4">
        <v>80085958656</v>
      </c>
      <c r="F234" s="4">
        <v>31.097939</v>
      </c>
      <c r="G234" s="4">
        <v>6889999872</v>
      </c>
      <c r="H234" s="4">
        <v>54</v>
      </c>
      <c r="I234" s="4" t="s">
        <v>40</v>
      </c>
      <c r="J234" s="4" t="s">
        <v>41</v>
      </c>
    </row>
    <row r="235" spans="1:10" x14ac:dyDescent="0.25">
      <c r="A235" s="4" t="s">
        <v>599</v>
      </c>
      <c r="B235" s="4" t="s">
        <v>600</v>
      </c>
      <c r="C235" s="4" t="s">
        <v>74</v>
      </c>
      <c r="D235" s="4">
        <v>349.63</v>
      </c>
      <c r="E235" s="4">
        <v>77794197504</v>
      </c>
      <c r="F235" s="4">
        <v>47.183537</v>
      </c>
      <c r="G235" s="4">
        <v>3223000064</v>
      </c>
      <c r="H235" s="4">
        <v>11</v>
      </c>
      <c r="I235" s="4" t="s">
        <v>40</v>
      </c>
      <c r="J235" s="4" t="s">
        <v>41</v>
      </c>
    </row>
    <row r="236" spans="1:10" x14ac:dyDescent="0.25">
      <c r="A236" s="4" t="s">
        <v>601</v>
      </c>
      <c r="B236" s="4" t="s">
        <v>602</v>
      </c>
      <c r="C236" s="4" t="s">
        <v>47</v>
      </c>
      <c r="I236" s="4" t="s">
        <v>40</v>
      </c>
      <c r="J236" s="4" t="s">
        <v>41</v>
      </c>
    </row>
    <row r="237" spans="1:10" x14ac:dyDescent="0.25">
      <c r="A237" s="4" t="s">
        <v>603</v>
      </c>
      <c r="B237" s="4" t="s">
        <v>604</v>
      </c>
      <c r="C237" s="4" t="s">
        <v>605</v>
      </c>
      <c r="D237" s="4">
        <v>317.56</v>
      </c>
      <c r="E237" s="4">
        <v>316826320896</v>
      </c>
      <c r="F237" s="4">
        <v>22.222532</v>
      </c>
      <c r="G237" s="4">
        <v>24647999488</v>
      </c>
      <c r="I237" s="4" t="s">
        <v>40</v>
      </c>
      <c r="J237" s="4" t="s">
        <v>41</v>
      </c>
    </row>
    <row r="238" spans="1:10" x14ac:dyDescent="0.25">
      <c r="A238" s="4" t="s">
        <v>606</v>
      </c>
      <c r="B238" s="4" t="s">
        <v>607</v>
      </c>
      <c r="C238" s="4" t="s">
        <v>39</v>
      </c>
      <c r="D238" s="4">
        <v>219.26</v>
      </c>
      <c r="E238" s="4">
        <v>69492260864</v>
      </c>
      <c r="F238" s="4">
        <v>10.849085</v>
      </c>
      <c r="G238" s="4">
        <v>9018000384</v>
      </c>
      <c r="I238" s="4" t="s">
        <v>40</v>
      </c>
      <c r="J238" s="4" t="s">
        <v>41</v>
      </c>
    </row>
    <row r="239" spans="1:10" x14ac:dyDescent="0.25">
      <c r="A239" s="4" t="s">
        <v>608</v>
      </c>
      <c r="B239" s="4" t="s">
        <v>609</v>
      </c>
      <c r="C239" s="4" t="s">
        <v>261</v>
      </c>
      <c r="D239" s="4">
        <v>20.61</v>
      </c>
      <c r="E239" s="4">
        <v>11342730240</v>
      </c>
      <c r="F239" s="4">
        <v>33.241936</v>
      </c>
      <c r="G239" s="4">
        <v>1264931968</v>
      </c>
      <c r="H239" s="4">
        <v>31</v>
      </c>
      <c r="I239" s="4" t="s">
        <v>40</v>
      </c>
      <c r="J239" s="4" t="s">
        <v>41</v>
      </c>
    </row>
    <row r="240" spans="1:10" x14ac:dyDescent="0.25">
      <c r="A240" s="4" t="s">
        <v>610</v>
      </c>
      <c r="B240" s="4" t="s">
        <v>611</v>
      </c>
      <c r="C240" s="4" t="s">
        <v>612</v>
      </c>
      <c r="D240" s="4">
        <v>25.27</v>
      </c>
      <c r="E240" s="4">
        <v>17555738624</v>
      </c>
      <c r="F240" s="4">
        <v>17.074324</v>
      </c>
      <c r="G240" s="4">
        <v>1695000064</v>
      </c>
      <c r="I240" s="4" t="s">
        <v>40</v>
      </c>
      <c r="J240" s="4" t="s">
        <v>41</v>
      </c>
    </row>
    <row r="241" spans="1:10" x14ac:dyDescent="0.25">
      <c r="A241" s="4" t="s">
        <v>613</v>
      </c>
      <c r="B241" s="4" t="s">
        <v>614</v>
      </c>
      <c r="C241" s="4" t="s">
        <v>192</v>
      </c>
      <c r="D241" s="4">
        <v>195.19</v>
      </c>
      <c r="E241" s="4">
        <v>77842046976</v>
      </c>
      <c r="F241" s="4">
        <v>42.06681</v>
      </c>
      <c r="G241" s="4">
        <v>2793999872</v>
      </c>
      <c r="H241" s="4">
        <v>16</v>
      </c>
      <c r="I241" s="4" t="s">
        <v>40</v>
      </c>
      <c r="J241" s="4" t="s">
        <v>41</v>
      </c>
    </row>
    <row r="242" spans="1:10" x14ac:dyDescent="0.25">
      <c r="A242" s="4" t="s">
        <v>615</v>
      </c>
      <c r="B242" s="4" t="s">
        <v>616</v>
      </c>
      <c r="C242" s="4" t="s">
        <v>152</v>
      </c>
      <c r="D242" s="4">
        <v>32.45</v>
      </c>
      <c r="E242" s="4">
        <v>29263118336</v>
      </c>
      <c r="F242" s="4">
        <v>12.385497</v>
      </c>
      <c r="G242" s="4">
        <v>4636000256</v>
      </c>
      <c r="H242" s="4">
        <v>86</v>
      </c>
      <c r="I242" s="4" t="s">
        <v>40</v>
      </c>
      <c r="J242" s="4" t="s">
        <v>41</v>
      </c>
    </row>
    <row r="243" spans="1:10" x14ac:dyDescent="0.25">
      <c r="A243" s="4" t="s">
        <v>617</v>
      </c>
      <c r="B243" s="4" t="s">
        <v>618</v>
      </c>
      <c r="C243" s="4" t="s">
        <v>429</v>
      </c>
      <c r="D243" s="4">
        <v>437.33</v>
      </c>
      <c r="E243" s="4">
        <v>23109294080</v>
      </c>
      <c r="F243" s="4">
        <v>25.649855</v>
      </c>
      <c r="G243" s="4">
        <v>1611000064</v>
      </c>
      <c r="H243" s="4">
        <v>54</v>
      </c>
      <c r="I243" s="4" t="s">
        <v>40</v>
      </c>
      <c r="J243" s="4" t="s">
        <v>41</v>
      </c>
    </row>
    <row r="244" spans="1:10" x14ac:dyDescent="0.25">
      <c r="A244" s="4" t="s">
        <v>619</v>
      </c>
      <c r="B244" s="4" t="s">
        <v>620</v>
      </c>
      <c r="C244" s="4" t="s">
        <v>292</v>
      </c>
      <c r="D244" s="4">
        <v>411.87</v>
      </c>
      <c r="E244" s="4">
        <v>49457475584</v>
      </c>
      <c r="F244" s="4">
        <v>38.92911</v>
      </c>
      <c r="G244" s="4">
        <v>3596000000</v>
      </c>
      <c r="I244" s="4" t="s">
        <v>40</v>
      </c>
      <c r="J244" s="4" t="s">
        <v>41</v>
      </c>
    </row>
    <row r="245" spans="1:10" x14ac:dyDescent="0.25">
      <c r="A245" s="4" t="s">
        <v>621</v>
      </c>
      <c r="B245" s="4" t="s">
        <v>622</v>
      </c>
      <c r="C245" s="4" t="s">
        <v>330</v>
      </c>
      <c r="D245" s="4">
        <v>15.7</v>
      </c>
      <c r="E245" s="4">
        <v>31720513536</v>
      </c>
      <c r="F245" s="4">
        <v>12.076923</v>
      </c>
      <c r="I245" s="4" t="s">
        <v>40</v>
      </c>
      <c r="J245" s="4" t="s">
        <v>41</v>
      </c>
    </row>
    <row r="246" spans="1:10" x14ac:dyDescent="0.25">
      <c r="A246" s="4" t="s">
        <v>623</v>
      </c>
      <c r="B246" s="4" t="s">
        <v>624</v>
      </c>
      <c r="C246" s="4" t="s">
        <v>192</v>
      </c>
      <c r="D246" s="4">
        <v>279.26</v>
      </c>
      <c r="E246" s="4">
        <v>11004129280</v>
      </c>
      <c r="F246" s="4">
        <v>16.762306</v>
      </c>
      <c r="G246" s="4">
        <v>1170000000</v>
      </c>
      <c r="H246" s="4">
        <v>88</v>
      </c>
      <c r="I246" s="4" t="s">
        <v>40</v>
      </c>
      <c r="J246" s="4" t="s">
        <v>41</v>
      </c>
    </row>
    <row r="247" spans="1:10" x14ac:dyDescent="0.25">
      <c r="A247" s="4" t="s">
        <v>625</v>
      </c>
      <c r="B247" s="4" t="s">
        <v>625</v>
      </c>
      <c r="C247" s="4" t="s">
        <v>53</v>
      </c>
      <c r="D247" s="4">
        <v>253.22</v>
      </c>
      <c r="E247" s="4">
        <v>239323496448</v>
      </c>
      <c r="F247" s="4">
        <v>21.605803</v>
      </c>
      <c r="G247" s="4">
        <v>16634000384</v>
      </c>
      <c r="H247" s="4">
        <v>10</v>
      </c>
      <c r="I247" s="4" t="s">
        <v>40</v>
      </c>
      <c r="J247" s="4" t="s">
        <v>41</v>
      </c>
    </row>
    <row r="248" spans="1:10" x14ac:dyDescent="0.25">
      <c r="A248" s="4" t="s">
        <v>626</v>
      </c>
      <c r="B248" s="4" t="s">
        <v>627</v>
      </c>
      <c r="C248" s="4" t="s">
        <v>429</v>
      </c>
      <c r="D248" s="4">
        <v>238.54</v>
      </c>
      <c r="E248" s="4">
        <v>17585143808</v>
      </c>
      <c r="F248" s="4">
        <v>34.322304</v>
      </c>
      <c r="G248" s="4">
        <v>967699968</v>
      </c>
      <c r="H248" s="4">
        <v>12</v>
      </c>
      <c r="I248" s="4" t="s">
        <v>40</v>
      </c>
      <c r="J248" s="4" t="s">
        <v>41</v>
      </c>
    </row>
    <row r="249" spans="1:10" x14ac:dyDescent="0.25">
      <c r="A249" s="4" t="s">
        <v>628</v>
      </c>
      <c r="B249" s="4" t="s">
        <v>629</v>
      </c>
      <c r="C249" s="4" t="s">
        <v>47</v>
      </c>
      <c r="D249" s="4">
        <v>562.91</v>
      </c>
      <c r="E249" s="4">
        <v>44404027392</v>
      </c>
      <c r="F249" s="4">
        <v>39.557976</v>
      </c>
      <c r="G249" s="4">
        <v>1621684992</v>
      </c>
      <c r="H249" s="4">
        <v>22</v>
      </c>
      <c r="I249" s="4" t="s">
        <v>40</v>
      </c>
      <c r="J249" s="4" t="s">
        <v>41</v>
      </c>
    </row>
    <row r="250" spans="1:10" x14ac:dyDescent="0.25">
      <c r="A250" s="4" t="s">
        <v>630</v>
      </c>
      <c r="B250" s="4" t="s">
        <v>631</v>
      </c>
      <c r="C250" s="4" t="s">
        <v>429</v>
      </c>
      <c r="D250" s="4">
        <v>276.07</v>
      </c>
      <c r="E250" s="4">
        <v>78624735232</v>
      </c>
      <c r="F250" s="4">
        <v>24.60517</v>
      </c>
      <c r="G250" s="4">
        <v>4867999744</v>
      </c>
      <c r="H250" s="4">
        <v>49</v>
      </c>
      <c r="I250" s="4" t="s">
        <v>40</v>
      </c>
      <c r="J250" s="4" t="s">
        <v>41</v>
      </c>
    </row>
    <row r="251" spans="1:10" x14ac:dyDescent="0.25">
      <c r="A251" s="4" t="s">
        <v>632</v>
      </c>
      <c r="B251" s="4" t="s">
        <v>633</v>
      </c>
      <c r="C251" s="4" t="s">
        <v>50</v>
      </c>
      <c r="D251" s="4">
        <v>116.87</v>
      </c>
      <c r="E251" s="4">
        <v>23689285632</v>
      </c>
      <c r="F251" s="4">
        <v>14.850064</v>
      </c>
      <c r="G251" s="4">
        <v>1942312960</v>
      </c>
      <c r="H251" s="4">
        <v>85</v>
      </c>
      <c r="I251" s="4" t="s">
        <v>40</v>
      </c>
      <c r="J251" s="4" t="s">
        <v>41</v>
      </c>
    </row>
    <row r="252" spans="1:10" x14ac:dyDescent="0.25">
      <c r="A252" s="4" t="s">
        <v>634</v>
      </c>
      <c r="B252" s="4" t="s">
        <v>635</v>
      </c>
      <c r="C252" s="4" t="s">
        <v>429</v>
      </c>
      <c r="D252" s="4">
        <v>75.45</v>
      </c>
      <c r="E252" s="4">
        <v>29274554368</v>
      </c>
      <c r="F252" s="4">
        <v>31.049381</v>
      </c>
      <c r="G252" s="4">
        <v>2014700032</v>
      </c>
      <c r="H252" s="4">
        <v>42</v>
      </c>
      <c r="I252" s="4" t="s">
        <v>40</v>
      </c>
      <c r="J252" s="4" t="s">
        <v>41</v>
      </c>
    </row>
    <row r="253" spans="1:10" x14ac:dyDescent="0.25">
      <c r="A253" s="4" t="s">
        <v>636</v>
      </c>
      <c r="B253" s="4" t="s">
        <v>637</v>
      </c>
      <c r="C253" s="4" t="s">
        <v>47</v>
      </c>
      <c r="D253" s="4">
        <v>148.93</v>
      </c>
      <c r="E253" s="4">
        <v>10328920064</v>
      </c>
      <c r="F253" s="4">
        <v>27.889511</v>
      </c>
      <c r="G253" s="4">
        <v>614899968</v>
      </c>
      <c r="H253" s="4">
        <v>53</v>
      </c>
      <c r="I253" s="4" t="s">
        <v>40</v>
      </c>
      <c r="J253" s="4" t="s">
        <v>41</v>
      </c>
    </row>
    <row r="254" spans="1:10" x14ac:dyDescent="0.25">
      <c r="A254" s="4" t="s">
        <v>638</v>
      </c>
      <c r="B254" s="4" t="s">
        <v>639</v>
      </c>
      <c r="C254" s="4" t="s">
        <v>59</v>
      </c>
      <c r="D254" s="4">
        <v>95.53</v>
      </c>
      <c r="E254" s="4">
        <v>504981618688</v>
      </c>
      <c r="G254" s="4">
        <v>16839999488</v>
      </c>
      <c r="I254" s="4" t="s">
        <v>40</v>
      </c>
      <c r="J254" s="4" t="s">
        <v>41</v>
      </c>
    </row>
    <row r="255" spans="1:10" x14ac:dyDescent="0.25">
      <c r="A255" s="4" t="s">
        <v>640</v>
      </c>
      <c r="B255" s="4" t="s">
        <v>641</v>
      </c>
      <c r="C255" s="4" t="s">
        <v>280</v>
      </c>
      <c r="D255" s="4">
        <v>155.96</v>
      </c>
      <c r="E255" s="4">
        <v>87555088384</v>
      </c>
      <c r="F255" s="4">
        <v>21.997179</v>
      </c>
      <c r="G255" s="4">
        <v>6713999872</v>
      </c>
      <c r="I255" s="4" t="s">
        <v>40</v>
      </c>
      <c r="J255" s="4" t="s">
        <v>41</v>
      </c>
    </row>
    <row r="256" spans="1:10" x14ac:dyDescent="0.25">
      <c r="A256" s="4" t="s">
        <v>642</v>
      </c>
      <c r="B256" s="4" t="s">
        <v>643</v>
      </c>
      <c r="C256" s="4" t="s">
        <v>80</v>
      </c>
      <c r="D256" s="4">
        <v>90.66</v>
      </c>
      <c r="E256" s="4">
        <v>23145814016</v>
      </c>
      <c r="F256" s="4">
        <v>89.76238</v>
      </c>
      <c r="G256" s="4">
        <v>1911000064</v>
      </c>
      <c r="H256" s="4">
        <v>27</v>
      </c>
      <c r="I256" s="4" t="s">
        <v>40</v>
      </c>
      <c r="J256" s="4" t="s">
        <v>41</v>
      </c>
    </row>
    <row r="257" spans="1:10" x14ac:dyDescent="0.25">
      <c r="A257" s="4" t="s">
        <v>644</v>
      </c>
      <c r="B257" s="4" t="s">
        <v>645</v>
      </c>
      <c r="C257" s="4" t="s">
        <v>108</v>
      </c>
      <c r="D257" s="4">
        <v>34.48</v>
      </c>
      <c r="E257" s="4">
        <v>18259568640</v>
      </c>
      <c r="G257" s="4">
        <v>3934000128</v>
      </c>
      <c r="I257" s="4" t="s">
        <v>40</v>
      </c>
      <c r="J257" s="4" t="s">
        <v>41</v>
      </c>
    </row>
    <row r="258" spans="1:10" x14ac:dyDescent="0.25">
      <c r="A258" s="4" t="s">
        <v>646</v>
      </c>
      <c r="B258" s="4" t="s">
        <v>647</v>
      </c>
      <c r="C258" s="4" t="s">
        <v>648</v>
      </c>
      <c r="I258" s="4" t="s">
        <v>40</v>
      </c>
      <c r="J258" s="4" t="s">
        <v>41</v>
      </c>
    </row>
    <row r="259" spans="1:10" x14ac:dyDescent="0.25">
      <c r="A259" s="4" t="s">
        <v>649</v>
      </c>
      <c r="B259" s="4" t="s">
        <v>650</v>
      </c>
      <c r="C259" s="4" t="s">
        <v>56</v>
      </c>
      <c r="D259" s="4">
        <v>328.19</v>
      </c>
      <c r="E259" s="4">
        <v>87704182784</v>
      </c>
      <c r="F259" s="4">
        <v>19.93864</v>
      </c>
      <c r="G259" s="4">
        <v>6848999936</v>
      </c>
      <c r="H259" s="4">
        <v>71</v>
      </c>
      <c r="I259" s="4" t="s">
        <v>40</v>
      </c>
      <c r="J259" s="4" t="s">
        <v>41</v>
      </c>
    </row>
    <row r="260" spans="1:10" x14ac:dyDescent="0.25">
      <c r="A260" s="4" t="s">
        <v>651</v>
      </c>
      <c r="B260" s="4" t="s">
        <v>652</v>
      </c>
      <c r="C260" s="4" t="s">
        <v>47</v>
      </c>
      <c r="D260" s="4">
        <v>444.18</v>
      </c>
      <c r="E260" s="4">
        <v>156919037952</v>
      </c>
      <c r="F260" s="4">
        <v>53.70979</v>
      </c>
      <c r="G260" s="4">
        <v>4470700032</v>
      </c>
      <c r="H260" s="4">
        <v>7</v>
      </c>
      <c r="I260" s="4" t="s">
        <v>40</v>
      </c>
      <c r="J260" s="4" t="s">
        <v>41</v>
      </c>
    </row>
    <row r="261" spans="1:10" x14ac:dyDescent="0.25">
      <c r="A261" s="4" t="s">
        <v>653</v>
      </c>
      <c r="B261" s="4" t="s">
        <v>654</v>
      </c>
      <c r="C261" s="4" t="s">
        <v>131</v>
      </c>
      <c r="D261" s="4">
        <v>28.68</v>
      </c>
      <c r="E261" s="4">
        <v>12604860416</v>
      </c>
      <c r="G261" s="4">
        <v>1444800000</v>
      </c>
      <c r="I261" s="4" t="s">
        <v>40</v>
      </c>
      <c r="J261" s="4" t="s">
        <v>41</v>
      </c>
    </row>
    <row r="262" spans="1:10" x14ac:dyDescent="0.25">
      <c r="A262" s="4" t="s">
        <v>655</v>
      </c>
      <c r="B262" s="4" t="s">
        <v>656</v>
      </c>
      <c r="C262" s="4" t="s">
        <v>657</v>
      </c>
      <c r="D262" s="4">
        <v>26.75</v>
      </c>
      <c r="E262" s="4">
        <v>15799171072</v>
      </c>
      <c r="F262" s="4">
        <v>24.541285</v>
      </c>
      <c r="G262" s="4">
        <v>1500342016</v>
      </c>
      <c r="I262" s="4" t="s">
        <v>40</v>
      </c>
      <c r="J262" s="4" t="s">
        <v>41</v>
      </c>
    </row>
    <row r="263" spans="1:10" x14ac:dyDescent="0.25">
      <c r="A263" s="4" t="s">
        <v>658</v>
      </c>
      <c r="B263" s="4" t="s">
        <v>659</v>
      </c>
      <c r="C263" s="4" t="s">
        <v>68</v>
      </c>
      <c r="D263" s="4">
        <v>279.04</v>
      </c>
      <c r="E263" s="4">
        <v>45985792000</v>
      </c>
      <c r="F263" s="4">
        <v>33.022488</v>
      </c>
      <c r="G263" s="4">
        <v>3118000128</v>
      </c>
      <c r="H263" s="4">
        <v>93</v>
      </c>
      <c r="I263" s="4" t="s">
        <v>40</v>
      </c>
      <c r="J263" s="4" t="s">
        <v>41</v>
      </c>
    </row>
    <row r="264" spans="1:10" x14ac:dyDescent="0.25">
      <c r="A264" s="4" t="s">
        <v>660</v>
      </c>
      <c r="B264" s="4" t="s">
        <v>661</v>
      </c>
      <c r="C264" s="4" t="s">
        <v>662</v>
      </c>
      <c r="D264" s="4">
        <v>115.67</v>
      </c>
      <c r="E264" s="4">
        <v>34435284992</v>
      </c>
      <c r="F264" s="4">
        <v>82.62143</v>
      </c>
      <c r="G264" s="4">
        <v>2551013120</v>
      </c>
      <c r="I264" s="4" t="s">
        <v>40</v>
      </c>
      <c r="J264" s="4" t="s">
        <v>41</v>
      </c>
    </row>
    <row r="265" spans="1:10" x14ac:dyDescent="0.25">
      <c r="A265" s="4" t="s">
        <v>663</v>
      </c>
      <c r="B265" s="4" t="s">
        <v>664</v>
      </c>
      <c r="C265" s="4" t="s">
        <v>665</v>
      </c>
      <c r="D265" s="4">
        <v>223.26</v>
      </c>
      <c r="E265" s="4">
        <v>20964114432</v>
      </c>
      <c r="F265" s="4">
        <v>31.48942</v>
      </c>
      <c r="G265" s="4">
        <v>1682820992</v>
      </c>
      <c r="I265" s="4" t="s">
        <v>40</v>
      </c>
      <c r="J265" s="4" t="s">
        <v>41</v>
      </c>
    </row>
    <row r="266" spans="1:10" x14ac:dyDescent="0.25">
      <c r="A266" s="4" t="s">
        <v>666</v>
      </c>
      <c r="B266" s="4" t="s">
        <v>667</v>
      </c>
      <c r="C266" s="4" t="s">
        <v>261</v>
      </c>
      <c r="D266" s="4">
        <v>125.46</v>
      </c>
      <c r="E266" s="4">
        <v>13402036224</v>
      </c>
      <c r="F266" s="4">
        <v>58.626163</v>
      </c>
      <c r="G266" s="4">
        <v>2263899904</v>
      </c>
      <c r="H266" s="4">
        <v>36</v>
      </c>
      <c r="I266" s="4" t="s">
        <v>40</v>
      </c>
      <c r="J266" s="4" t="s">
        <v>41</v>
      </c>
    </row>
    <row r="267" spans="1:10" x14ac:dyDescent="0.25">
      <c r="A267" s="4" t="s">
        <v>668</v>
      </c>
      <c r="B267" s="4" t="s">
        <v>669</v>
      </c>
      <c r="C267" s="4" t="s">
        <v>670</v>
      </c>
      <c r="D267" s="4">
        <v>290.93</v>
      </c>
      <c r="E267" s="4">
        <v>29958363136</v>
      </c>
      <c r="F267" s="4">
        <v>29.063934</v>
      </c>
      <c r="G267" s="4">
        <v>2512999936</v>
      </c>
      <c r="I267" s="4" t="s">
        <v>40</v>
      </c>
      <c r="J267" s="4" t="s">
        <v>41</v>
      </c>
    </row>
    <row r="268" spans="1:10" x14ac:dyDescent="0.25">
      <c r="A268" s="4" t="s">
        <v>671</v>
      </c>
      <c r="B268" s="4" t="s">
        <v>672</v>
      </c>
      <c r="C268" s="4" t="s">
        <v>364</v>
      </c>
      <c r="D268" s="4">
        <v>158.11</v>
      </c>
      <c r="E268" s="4">
        <v>11085408256</v>
      </c>
      <c r="F268" s="4">
        <v>22.651863</v>
      </c>
      <c r="G268" s="4">
        <v>702214016</v>
      </c>
      <c r="H268" s="4">
        <v>53</v>
      </c>
      <c r="I268" s="4" t="s">
        <v>40</v>
      </c>
      <c r="J268" s="4" t="s">
        <v>41</v>
      </c>
    </row>
    <row r="269" spans="1:10" x14ac:dyDescent="0.25">
      <c r="A269" s="4" t="s">
        <v>673</v>
      </c>
      <c r="B269" s="4" t="s">
        <v>674</v>
      </c>
      <c r="C269" s="4" t="s">
        <v>675</v>
      </c>
      <c r="D269" s="4">
        <v>150.91</v>
      </c>
      <c r="E269" s="4">
        <v>17819586560</v>
      </c>
      <c r="F269" s="4">
        <v>49.316994</v>
      </c>
      <c r="G269" s="4">
        <v>1056488000</v>
      </c>
      <c r="I269" s="4" t="s">
        <v>40</v>
      </c>
      <c r="J269" s="4" t="s">
        <v>41</v>
      </c>
    </row>
    <row r="270" spans="1:10" x14ac:dyDescent="0.25">
      <c r="A270" s="4" t="s">
        <v>676</v>
      </c>
      <c r="B270" s="4" t="s">
        <v>677</v>
      </c>
      <c r="C270" s="4" t="s">
        <v>232</v>
      </c>
      <c r="D270" s="4">
        <v>271.04</v>
      </c>
      <c r="E270" s="4">
        <v>652477399040</v>
      </c>
      <c r="F270" s="4">
        <v>40.757896</v>
      </c>
      <c r="G270" s="4">
        <v>34502000640</v>
      </c>
      <c r="H270" s="4">
        <v>35</v>
      </c>
      <c r="I270" s="4" t="s">
        <v>40</v>
      </c>
      <c r="J270" s="4" t="s">
        <v>41</v>
      </c>
    </row>
    <row r="271" spans="1:10" x14ac:dyDescent="0.25">
      <c r="A271" s="4" t="s">
        <v>678</v>
      </c>
      <c r="B271" s="4" t="s">
        <v>679</v>
      </c>
      <c r="C271" s="4" t="s">
        <v>44</v>
      </c>
      <c r="D271" s="4">
        <v>157.35</v>
      </c>
      <c r="E271" s="4">
        <v>95313420288</v>
      </c>
      <c r="F271" s="4">
        <v>33.05672</v>
      </c>
      <c r="G271" s="4">
        <v>4658999808</v>
      </c>
      <c r="H271" s="4">
        <v>39</v>
      </c>
      <c r="I271" s="4" t="s">
        <v>40</v>
      </c>
      <c r="J271" s="4" t="s">
        <v>41</v>
      </c>
    </row>
    <row r="272" spans="1:10" x14ac:dyDescent="0.25">
      <c r="A272" s="4" t="s">
        <v>680</v>
      </c>
      <c r="B272" s="4" t="s">
        <v>681</v>
      </c>
      <c r="C272" s="4" t="s">
        <v>201</v>
      </c>
      <c r="D272" s="4">
        <v>339.3</v>
      </c>
      <c r="E272" s="4">
        <v>901045092352</v>
      </c>
      <c r="F272" s="4">
        <v>14.0846815</v>
      </c>
      <c r="I272" s="4" t="s">
        <v>40</v>
      </c>
      <c r="J272" s="4" t="s">
        <v>41</v>
      </c>
    </row>
    <row r="273" spans="1:10" x14ac:dyDescent="0.25">
      <c r="A273" s="4" t="s">
        <v>682</v>
      </c>
      <c r="B273" s="4" t="s">
        <v>683</v>
      </c>
      <c r="C273" s="4" t="s">
        <v>166</v>
      </c>
      <c r="I273" s="4" t="s">
        <v>40</v>
      </c>
      <c r="J273" s="4" t="s">
        <v>41</v>
      </c>
    </row>
    <row r="274" spans="1:10" x14ac:dyDescent="0.25">
      <c r="A274" s="4" t="s">
        <v>684</v>
      </c>
      <c r="B274" s="4" t="s">
        <v>685</v>
      </c>
      <c r="C274" s="4" t="s">
        <v>261</v>
      </c>
      <c r="I274" s="4" t="s">
        <v>40</v>
      </c>
      <c r="J274" s="4" t="s">
        <v>41</v>
      </c>
    </row>
    <row r="275" spans="1:10" x14ac:dyDescent="0.25">
      <c r="A275" s="4" t="s">
        <v>686</v>
      </c>
      <c r="B275" s="4" t="s">
        <v>687</v>
      </c>
      <c r="C275" s="4" t="s">
        <v>481</v>
      </c>
      <c r="D275" s="4">
        <v>19.33</v>
      </c>
      <c r="E275" s="4">
        <v>37128552448</v>
      </c>
      <c r="F275" s="4">
        <v>22.476744</v>
      </c>
      <c r="G275" s="4">
        <v>3480999936</v>
      </c>
      <c r="I275" s="4" t="s">
        <v>40</v>
      </c>
      <c r="J275" s="4" t="s">
        <v>41</v>
      </c>
    </row>
    <row r="276" spans="1:10" x14ac:dyDescent="0.25">
      <c r="A276" s="4" t="s">
        <v>688</v>
      </c>
      <c r="B276" s="4" t="s">
        <v>689</v>
      </c>
      <c r="C276" s="4" t="s">
        <v>339</v>
      </c>
      <c r="D276" s="4">
        <v>34.93</v>
      </c>
      <c r="E276" s="4">
        <v>47533654016</v>
      </c>
      <c r="F276" s="4">
        <v>35.28283</v>
      </c>
      <c r="G276" s="4">
        <v>4807000064</v>
      </c>
      <c r="I276" s="4" t="s">
        <v>40</v>
      </c>
      <c r="J276" s="4" t="s">
        <v>41</v>
      </c>
    </row>
    <row r="277" spans="1:10" x14ac:dyDescent="0.25">
      <c r="A277" s="4" t="s">
        <v>690</v>
      </c>
      <c r="B277" s="4" t="s">
        <v>691</v>
      </c>
      <c r="C277" s="4" t="s">
        <v>330</v>
      </c>
      <c r="D277" s="4">
        <v>21.2</v>
      </c>
      <c r="E277" s="4">
        <v>22433331200</v>
      </c>
      <c r="F277" s="4">
        <v>11.648352</v>
      </c>
      <c r="I277" s="4" t="s">
        <v>40</v>
      </c>
      <c r="J277" s="4" t="s">
        <v>41</v>
      </c>
    </row>
    <row r="278" spans="1:10" x14ac:dyDescent="0.25">
      <c r="A278" s="4" t="s">
        <v>692</v>
      </c>
      <c r="B278" s="4" t="s">
        <v>693</v>
      </c>
      <c r="C278" s="4" t="s">
        <v>694</v>
      </c>
      <c r="D278" s="4">
        <v>335.5</v>
      </c>
      <c r="E278" s="4">
        <v>57117114368</v>
      </c>
      <c r="F278" s="4">
        <v>45.460705</v>
      </c>
      <c r="G278" s="4">
        <v>1698000000</v>
      </c>
      <c r="I278" s="4" t="s">
        <v>40</v>
      </c>
      <c r="J278" s="4" t="s">
        <v>41</v>
      </c>
    </row>
    <row r="279" spans="1:10" x14ac:dyDescent="0.25">
      <c r="A279" s="4" t="s">
        <v>695</v>
      </c>
      <c r="B279" s="4" t="s">
        <v>696</v>
      </c>
      <c r="C279" s="4" t="s">
        <v>316</v>
      </c>
      <c r="D279" s="4">
        <v>108.4</v>
      </c>
      <c r="E279" s="4">
        <v>35982336000</v>
      </c>
      <c r="F279" s="4">
        <v>21.507936</v>
      </c>
      <c r="G279" s="4">
        <v>3480999936</v>
      </c>
      <c r="I279" s="4" t="s">
        <v>40</v>
      </c>
      <c r="J279" s="4" t="s">
        <v>41</v>
      </c>
    </row>
    <row r="280" spans="1:10" x14ac:dyDescent="0.25">
      <c r="A280" s="4" t="s">
        <v>697</v>
      </c>
      <c r="B280" s="4" t="s">
        <v>698</v>
      </c>
      <c r="C280" s="4" t="s">
        <v>511</v>
      </c>
      <c r="D280" s="4">
        <v>23.4</v>
      </c>
      <c r="E280" s="4">
        <v>15696471040</v>
      </c>
      <c r="F280" s="4">
        <v>27.857143</v>
      </c>
      <c r="G280" s="4">
        <v>1332118016</v>
      </c>
      <c r="I280" s="4" t="s">
        <v>40</v>
      </c>
      <c r="J280" s="4" t="s">
        <v>41</v>
      </c>
    </row>
    <row r="281" spans="1:10" x14ac:dyDescent="0.25">
      <c r="A281" s="4" t="s">
        <v>699</v>
      </c>
      <c r="B281" s="4" t="s">
        <v>700</v>
      </c>
      <c r="C281" s="4" t="s">
        <v>701</v>
      </c>
      <c r="D281" s="4">
        <v>33.56</v>
      </c>
      <c r="E281" s="4">
        <v>74762133504</v>
      </c>
      <c r="F281" s="4">
        <v>20.84472</v>
      </c>
      <c r="G281" s="4">
        <v>7680000000</v>
      </c>
      <c r="I281" s="4" t="s">
        <v>40</v>
      </c>
      <c r="J281" s="4" t="s">
        <v>41</v>
      </c>
    </row>
    <row r="282" spans="1:10" x14ac:dyDescent="0.25">
      <c r="A282" s="4" t="s">
        <v>702</v>
      </c>
      <c r="B282" s="4" t="s">
        <v>702</v>
      </c>
      <c r="C282" s="4" t="s">
        <v>131</v>
      </c>
      <c r="D282" s="4">
        <v>93.04</v>
      </c>
      <c r="E282" s="4">
        <v>85930860544</v>
      </c>
      <c r="F282" s="4">
        <v>29.725239</v>
      </c>
      <c r="I282" s="4" t="s">
        <v>40</v>
      </c>
      <c r="J282" s="4" t="s">
        <v>41</v>
      </c>
    </row>
    <row r="283" spans="1:10" x14ac:dyDescent="0.25">
      <c r="A283" s="4" t="s">
        <v>703</v>
      </c>
      <c r="B283" s="4" t="s">
        <v>704</v>
      </c>
      <c r="C283" s="4" t="s">
        <v>155</v>
      </c>
      <c r="D283" s="4">
        <v>158.77</v>
      </c>
      <c r="E283" s="4">
        <v>207195881472</v>
      </c>
      <c r="F283" s="4">
        <v>42.002647</v>
      </c>
      <c r="G283" s="4">
        <v>6054757888</v>
      </c>
      <c r="H283" s="4">
        <v>22</v>
      </c>
      <c r="I283" s="4" t="s">
        <v>40</v>
      </c>
      <c r="J283" s="4" t="s">
        <v>41</v>
      </c>
    </row>
    <row r="284" spans="1:10" x14ac:dyDescent="0.25">
      <c r="A284" s="4" t="s">
        <v>705</v>
      </c>
      <c r="B284" s="4" t="s">
        <v>706</v>
      </c>
      <c r="C284" s="4" t="s">
        <v>261</v>
      </c>
      <c r="D284" s="4">
        <v>23.86</v>
      </c>
      <c r="E284" s="4">
        <v>28293754880</v>
      </c>
      <c r="G284" s="4">
        <v>5493000192</v>
      </c>
      <c r="I284" s="4" t="s">
        <v>40</v>
      </c>
      <c r="J284" s="4" t="s">
        <v>41</v>
      </c>
    </row>
    <row r="285" spans="1:10" x14ac:dyDescent="0.25">
      <c r="A285" s="4" t="s">
        <v>707</v>
      </c>
      <c r="B285" s="4" t="s">
        <v>708</v>
      </c>
      <c r="C285" s="4" t="s">
        <v>709</v>
      </c>
      <c r="D285" s="4">
        <v>65.02</v>
      </c>
      <c r="E285" s="4">
        <v>38400073728</v>
      </c>
      <c r="F285" s="4">
        <v>36.528088</v>
      </c>
      <c r="G285" s="4">
        <v>8042999808</v>
      </c>
      <c r="I285" s="4" t="s">
        <v>40</v>
      </c>
      <c r="J285" s="4" t="s">
        <v>41</v>
      </c>
    </row>
    <row r="286" spans="1:10" x14ac:dyDescent="0.25">
      <c r="A286" s="4" t="s">
        <v>710</v>
      </c>
      <c r="B286" s="4" t="s">
        <v>711</v>
      </c>
      <c r="C286" s="4" t="s">
        <v>192</v>
      </c>
      <c r="D286" s="4">
        <v>260.61</v>
      </c>
      <c r="E286" s="4">
        <v>48529391616</v>
      </c>
      <c r="F286" s="4">
        <v>26.271168</v>
      </c>
      <c r="G286" s="4">
        <v>4142000128</v>
      </c>
      <c r="H286" s="4">
        <v>56</v>
      </c>
      <c r="I286" s="4" t="s">
        <v>40</v>
      </c>
      <c r="J286" s="4" t="s">
        <v>41</v>
      </c>
    </row>
    <row r="287" spans="1:10" x14ac:dyDescent="0.25">
      <c r="A287" s="4" t="s">
        <v>712</v>
      </c>
      <c r="B287" s="4" t="s">
        <v>713</v>
      </c>
      <c r="C287" s="4" t="s">
        <v>319</v>
      </c>
      <c r="D287" s="4">
        <v>360.25</v>
      </c>
      <c r="E287" s="4">
        <v>29216274432</v>
      </c>
      <c r="F287" s="4">
        <v>29.797354</v>
      </c>
      <c r="G287" s="4">
        <v>2319800064</v>
      </c>
      <c r="H287" s="4">
        <v>10</v>
      </c>
      <c r="I287" s="4" t="s">
        <v>40</v>
      </c>
      <c r="J287" s="4" t="s">
        <v>41</v>
      </c>
    </row>
    <row r="288" spans="1:10" x14ac:dyDescent="0.25">
      <c r="A288" s="4" t="s">
        <v>714</v>
      </c>
      <c r="B288" s="4" t="s">
        <v>715</v>
      </c>
      <c r="C288" s="4" t="s">
        <v>155</v>
      </c>
      <c r="D288" s="4">
        <v>253.82</v>
      </c>
      <c r="E288" s="4">
        <v>317636542464</v>
      </c>
      <c r="F288" s="4">
        <v>37.827126</v>
      </c>
      <c r="G288" s="4">
        <v>10116395008</v>
      </c>
      <c r="H288" s="4">
        <v>58</v>
      </c>
      <c r="I288" s="4" t="s">
        <v>40</v>
      </c>
      <c r="J288" s="4" t="s">
        <v>41</v>
      </c>
    </row>
    <row r="289" spans="1:10" x14ac:dyDescent="0.25">
      <c r="A289" s="4" t="s">
        <v>716</v>
      </c>
      <c r="B289" s="4" t="s">
        <v>717</v>
      </c>
      <c r="C289" s="4" t="s">
        <v>261</v>
      </c>
      <c r="D289" s="4">
        <v>53.49</v>
      </c>
      <c r="E289" s="4">
        <v>7369876480</v>
      </c>
      <c r="F289" s="4">
        <v>29.39011</v>
      </c>
      <c r="G289" s="4">
        <v>1069100032</v>
      </c>
      <c r="H289" s="4">
        <v>54</v>
      </c>
      <c r="I289" s="4" t="s">
        <v>40</v>
      </c>
      <c r="J289" s="4" t="s">
        <v>41</v>
      </c>
    </row>
    <row r="290" spans="1:10" x14ac:dyDescent="0.25">
      <c r="A290" s="4" t="s">
        <v>718</v>
      </c>
      <c r="B290" s="4" t="s">
        <v>719</v>
      </c>
      <c r="C290" s="4" t="s">
        <v>256</v>
      </c>
      <c r="D290" s="4">
        <v>36.22</v>
      </c>
      <c r="E290" s="4">
        <v>23459737600</v>
      </c>
      <c r="F290" s="4">
        <v>14.783673</v>
      </c>
      <c r="G290" s="4">
        <v>4446000128</v>
      </c>
      <c r="I290" s="4" t="s">
        <v>40</v>
      </c>
      <c r="J290" s="4" t="s">
        <v>41</v>
      </c>
    </row>
    <row r="291" spans="1:10" x14ac:dyDescent="0.25">
      <c r="A291" s="4" t="s">
        <v>720</v>
      </c>
      <c r="B291" s="4" t="s">
        <v>721</v>
      </c>
      <c r="C291" s="4" t="s">
        <v>111</v>
      </c>
      <c r="D291" s="4">
        <v>139.6</v>
      </c>
      <c r="E291" s="4">
        <v>17559652352</v>
      </c>
      <c r="F291" s="4">
        <v>13.034548</v>
      </c>
      <c r="G291" s="4">
        <v>2382000128</v>
      </c>
      <c r="I291" s="4" t="s">
        <v>40</v>
      </c>
      <c r="J291" s="4" t="s">
        <v>41</v>
      </c>
    </row>
    <row r="292" spans="1:10" x14ac:dyDescent="0.25">
      <c r="A292" s="4" t="s">
        <v>722</v>
      </c>
      <c r="B292" s="4" t="s">
        <v>723</v>
      </c>
      <c r="C292" s="4" t="s">
        <v>388</v>
      </c>
      <c r="D292" s="4">
        <v>83.45</v>
      </c>
      <c r="E292" s="4">
        <v>19852773376</v>
      </c>
      <c r="F292" s="4">
        <v>15.804923</v>
      </c>
      <c r="G292" s="4">
        <v>1982134016</v>
      </c>
      <c r="I292" s="4" t="s">
        <v>40</v>
      </c>
      <c r="J292" s="4" t="s">
        <v>41</v>
      </c>
    </row>
    <row r="293" spans="1:10" x14ac:dyDescent="0.25">
      <c r="A293" s="4" t="s">
        <v>724</v>
      </c>
      <c r="B293" s="4" t="s">
        <v>725</v>
      </c>
      <c r="C293" s="4" t="s">
        <v>232</v>
      </c>
      <c r="D293" s="4">
        <v>1288.3</v>
      </c>
      <c r="E293" s="4">
        <v>1148335292416</v>
      </c>
      <c r="F293" s="4">
        <v>43.029392</v>
      </c>
      <c r="G293" s="4">
        <v>41706999808</v>
      </c>
      <c r="H293" s="4">
        <v>18</v>
      </c>
      <c r="I293" s="4" t="s">
        <v>40</v>
      </c>
      <c r="J293" s="4" t="s">
        <v>41</v>
      </c>
    </row>
    <row r="294" spans="1:10" x14ac:dyDescent="0.25">
      <c r="A294" s="4" t="s">
        <v>726</v>
      </c>
      <c r="B294" s="4" t="s">
        <v>727</v>
      </c>
      <c r="C294" s="4" t="s">
        <v>71</v>
      </c>
      <c r="D294" s="4">
        <v>508.16</v>
      </c>
      <c r="E294" s="4">
        <v>234251681792</v>
      </c>
      <c r="F294" s="4">
        <v>32.84809</v>
      </c>
      <c r="G294" s="4">
        <v>13822000128</v>
      </c>
      <c r="I294" s="4" t="s">
        <v>40</v>
      </c>
      <c r="J294" s="4" t="s">
        <v>41</v>
      </c>
    </row>
    <row r="295" spans="1:10" x14ac:dyDescent="0.25">
      <c r="A295" s="4" t="s">
        <v>728</v>
      </c>
      <c r="B295" s="4" t="s">
        <v>729</v>
      </c>
      <c r="C295" s="4" t="s">
        <v>730</v>
      </c>
      <c r="D295" s="4">
        <v>172.5</v>
      </c>
      <c r="E295" s="4">
        <v>40185516032</v>
      </c>
      <c r="G295" s="4">
        <v>1550790016</v>
      </c>
      <c r="I295" s="4" t="s">
        <v>40</v>
      </c>
      <c r="J295" s="4" t="s">
        <v>41</v>
      </c>
    </row>
    <row r="296" spans="1:10" x14ac:dyDescent="0.25">
      <c r="A296" s="4" t="s">
        <v>731</v>
      </c>
      <c r="B296" s="4" t="s">
        <v>732</v>
      </c>
      <c r="C296" s="4" t="s">
        <v>567</v>
      </c>
      <c r="D296" s="4">
        <v>17.19</v>
      </c>
      <c r="E296" s="4">
        <v>4349105664</v>
      </c>
      <c r="F296" s="4">
        <v>9.55</v>
      </c>
      <c r="G296" s="4">
        <v>1403000064</v>
      </c>
      <c r="I296" s="4" t="s">
        <v>40</v>
      </c>
      <c r="J296" s="4" t="s">
        <v>41</v>
      </c>
    </row>
    <row r="297" spans="1:10" x14ac:dyDescent="0.25">
      <c r="A297" s="4" t="s">
        <v>733</v>
      </c>
      <c r="B297" s="4" t="s">
        <v>734</v>
      </c>
      <c r="C297" s="4" t="s">
        <v>192</v>
      </c>
      <c r="D297" s="4">
        <v>629.75</v>
      </c>
      <c r="E297" s="4">
        <v>145475174400</v>
      </c>
      <c r="F297" s="4">
        <v>22.119776</v>
      </c>
      <c r="G297" s="4">
        <v>9857999872</v>
      </c>
      <c r="H297" s="4">
        <v>51</v>
      </c>
      <c r="I297" s="4" t="s">
        <v>40</v>
      </c>
      <c r="J297" s="4" t="s">
        <v>41</v>
      </c>
    </row>
    <row r="298" spans="1:10" x14ac:dyDescent="0.25">
      <c r="A298" s="4" t="s">
        <v>735</v>
      </c>
      <c r="B298" s="4" t="s">
        <v>736</v>
      </c>
      <c r="C298" s="4" t="s">
        <v>122</v>
      </c>
      <c r="D298" s="4">
        <v>110.2</v>
      </c>
      <c r="E298" s="4">
        <v>22527932416</v>
      </c>
      <c r="F298" s="4">
        <v>13.604938</v>
      </c>
      <c r="G298" s="4">
        <v>3236999936</v>
      </c>
      <c r="I298" s="4" t="s">
        <v>40</v>
      </c>
      <c r="J298" s="4" t="s">
        <v>41</v>
      </c>
    </row>
    <row r="299" spans="1:10" x14ac:dyDescent="0.25">
      <c r="A299" s="4" t="s">
        <v>737</v>
      </c>
      <c r="B299" s="4" t="s">
        <v>738</v>
      </c>
      <c r="C299" s="4" t="s">
        <v>605</v>
      </c>
      <c r="D299" s="4">
        <v>198.4</v>
      </c>
      <c r="E299" s="4">
        <v>111313117184</v>
      </c>
      <c r="F299" s="4">
        <v>16.756756</v>
      </c>
      <c r="G299" s="4">
        <v>12728999936</v>
      </c>
      <c r="I299" s="4" t="s">
        <v>40</v>
      </c>
      <c r="J299" s="4" t="s">
        <v>41</v>
      </c>
    </row>
    <row r="300" spans="1:10" x14ac:dyDescent="0.25">
      <c r="A300" s="4" t="s">
        <v>739</v>
      </c>
      <c r="B300" s="4" t="s">
        <v>740</v>
      </c>
      <c r="C300" s="4" t="s">
        <v>741</v>
      </c>
      <c r="D300" s="4">
        <v>105.22</v>
      </c>
      <c r="E300" s="4">
        <v>12187209728</v>
      </c>
      <c r="F300" s="4">
        <v>8.610475</v>
      </c>
      <c r="G300" s="4">
        <v>2383926016</v>
      </c>
      <c r="I300" s="4" t="s">
        <v>40</v>
      </c>
      <c r="J300" s="4" t="s">
        <v>41</v>
      </c>
    </row>
    <row r="301" spans="1:10" x14ac:dyDescent="0.25">
      <c r="A301" s="4" t="s">
        <v>742</v>
      </c>
      <c r="B301" s="4" t="s">
        <v>743</v>
      </c>
      <c r="C301" s="4" t="s">
        <v>80</v>
      </c>
      <c r="D301" s="4">
        <v>67.13</v>
      </c>
      <c r="E301" s="4">
        <v>21685536768</v>
      </c>
      <c r="G301" s="4">
        <v>3568000000</v>
      </c>
      <c r="I301" s="4" t="s">
        <v>40</v>
      </c>
      <c r="J301" s="4" t="s">
        <v>41</v>
      </c>
    </row>
    <row r="302" spans="1:10" x14ac:dyDescent="0.25">
      <c r="A302" s="4" t="s">
        <v>744</v>
      </c>
      <c r="B302" s="4" t="s">
        <v>745</v>
      </c>
      <c r="C302" s="4" t="s">
        <v>330</v>
      </c>
      <c r="D302" s="4">
        <v>220.2</v>
      </c>
      <c r="E302" s="4">
        <v>31644502016</v>
      </c>
      <c r="F302" s="4">
        <v>11.565125</v>
      </c>
      <c r="I302" s="4" t="s">
        <v>40</v>
      </c>
      <c r="J302" s="4" t="s">
        <v>41</v>
      </c>
    </row>
    <row r="303" spans="1:10" x14ac:dyDescent="0.25">
      <c r="A303" s="4" t="s">
        <v>746</v>
      </c>
      <c r="B303" s="4" t="s">
        <v>747</v>
      </c>
      <c r="C303" s="4" t="s">
        <v>149</v>
      </c>
      <c r="I303" s="4" t="s">
        <v>40</v>
      </c>
      <c r="J303" s="4" t="s">
        <v>41</v>
      </c>
    </row>
    <row r="304" spans="1:10" x14ac:dyDescent="0.25">
      <c r="A304" s="4" t="s">
        <v>748</v>
      </c>
      <c r="B304" s="4" t="s">
        <v>749</v>
      </c>
      <c r="C304" s="4" t="s">
        <v>750</v>
      </c>
      <c r="D304" s="4">
        <v>440.77</v>
      </c>
      <c r="E304" s="4">
        <v>128676913152</v>
      </c>
      <c r="F304" s="4">
        <v>15.094862</v>
      </c>
      <c r="G304" s="4">
        <v>15397000192</v>
      </c>
      <c r="I304" s="4" t="s">
        <v>40</v>
      </c>
      <c r="J304" s="4" t="s">
        <v>41</v>
      </c>
    </row>
    <row r="305" spans="1:10" x14ac:dyDescent="0.25">
      <c r="A305" s="4" t="s">
        <v>751</v>
      </c>
      <c r="B305" s="4" t="s">
        <v>752</v>
      </c>
      <c r="C305" s="4" t="s">
        <v>280</v>
      </c>
      <c r="D305" s="4">
        <v>164.82</v>
      </c>
      <c r="E305" s="4">
        <v>5801202176</v>
      </c>
      <c r="F305" s="4">
        <v>20.248158</v>
      </c>
      <c r="G305" s="4">
        <v>436584000</v>
      </c>
      <c r="I305" s="4" t="s">
        <v>40</v>
      </c>
      <c r="J305" s="4" t="s">
        <v>41</v>
      </c>
    </row>
    <row r="306" spans="1:10" x14ac:dyDescent="0.25">
      <c r="A306" s="4" t="s">
        <v>753</v>
      </c>
      <c r="B306" s="4" t="s">
        <v>754</v>
      </c>
      <c r="C306" s="4" t="s">
        <v>74</v>
      </c>
      <c r="D306" s="4">
        <v>394.4</v>
      </c>
      <c r="E306" s="4">
        <v>102846226432</v>
      </c>
      <c r="F306" s="4">
        <v>40.828156</v>
      </c>
      <c r="G306" s="4">
        <v>4814000128</v>
      </c>
      <c r="H306" s="4">
        <v>24</v>
      </c>
      <c r="I306" s="4" t="s">
        <v>40</v>
      </c>
      <c r="J306" s="4" t="s">
        <v>41</v>
      </c>
    </row>
    <row r="307" spans="1:10" x14ac:dyDescent="0.25">
      <c r="A307" s="4" t="s">
        <v>755</v>
      </c>
      <c r="B307" s="4" t="s">
        <v>756</v>
      </c>
      <c r="C307" s="4" t="s">
        <v>146</v>
      </c>
      <c r="I307" s="4" t="s">
        <v>40</v>
      </c>
      <c r="J307" s="4" t="s">
        <v>41</v>
      </c>
    </row>
    <row r="308" spans="1:10" x14ac:dyDescent="0.25">
      <c r="A308" s="4" t="s">
        <v>757</v>
      </c>
      <c r="B308" s="4" t="s">
        <v>758</v>
      </c>
      <c r="C308" s="4" t="s">
        <v>759</v>
      </c>
      <c r="D308" s="4">
        <v>510</v>
      </c>
      <c r="E308" s="4">
        <v>36219887616</v>
      </c>
      <c r="F308" s="4">
        <v>33.159946</v>
      </c>
      <c r="G308" s="4">
        <v>2126000000</v>
      </c>
      <c r="I308" s="4" t="s">
        <v>40</v>
      </c>
      <c r="J308" s="4" t="s">
        <v>41</v>
      </c>
    </row>
    <row r="309" spans="1:10" x14ac:dyDescent="0.25">
      <c r="A309" s="4" t="s">
        <v>760</v>
      </c>
      <c r="B309" s="4" t="s">
        <v>761</v>
      </c>
      <c r="C309" s="4" t="s">
        <v>44</v>
      </c>
      <c r="D309" s="4">
        <v>76.05</v>
      </c>
      <c r="E309" s="4">
        <v>14996104192</v>
      </c>
      <c r="F309" s="4">
        <v>17.52304</v>
      </c>
      <c r="G309" s="4">
        <v>1508000000</v>
      </c>
      <c r="H309" s="4">
        <v>79</v>
      </c>
      <c r="I309" s="4" t="s">
        <v>40</v>
      </c>
      <c r="J309" s="4" t="s">
        <v>41</v>
      </c>
    </row>
    <row r="310" spans="1:10" x14ac:dyDescent="0.25">
      <c r="A310" s="4" t="s">
        <v>762</v>
      </c>
      <c r="B310" s="4" t="s">
        <v>763</v>
      </c>
      <c r="C310" s="4" t="s">
        <v>364</v>
      </c>
      <c r="D310" s="4">
        <v>610.31</v>
      </c>
      <c r="E310" s="4">
        <v>534637608960</v>
      </c>
      <c r="F310" s="4">
        <v>33.570408</v>
      </c>
      <c r="G310" s="4">
        <v>22200999936</v>
      </c>
      <c r="H310" s="4">
        <v>21</v>
      </c>
      <c r="I310" s="4" t="s">
        <v>40</v>
      </c>
      <c r="J310" s="4" t="s">
        <v>41</v>
      </c>
    </row>
    <row r="311" spans="1:10" x14ac:dyDescent="0.25">
      <c r="A311" s="4" t="s">
        <v>764</v>
      </c>
      <c r="B311" s="4" t="s">
        <v>765</v>
      </c>
      <c r="C311" s="4" t="s">
        <v>97</v>
      </c>
      <c r="D311" s="4">
        <v>42.06</v>
      </c>
      <c r="E311" s="4">
        <v>9654915072</v>
      </c>
      <c r="F311" s="4">
        <v>15.520295</v>
      </c>
      <c r="G311" s="4">
        <v>1188930048</v>
      </c>
      <c r="I311" s="4" t="s">
        <v>40</v>
      </c>
      <c r="J311" s="4" t="s">
        <v>41</v>
      </c>
    </row>
    <row r="312" spans="1:10" x14ac:dyDescent="0.25">
      <c r="A312" s="4" t="s">
        <v>766</v>
      </c>
      <c r="B312" s="4" t="s">
        <v>767</v>
      </c>
      <c r="C312" s="4" t="s">
        <v>261</v>
      </c>
      <c r="D312" s="4">
        <v>46.06</v>
      </c>
      <c r="E312" s="4">
        <v>12393110528</v>
      </c>
      <c r="F312" s="4">
        <v>8.593284</v>
      </c>
      <c r="G312" s="4">
        <v>1504099968</v>
      </c>
      <c r="H312" s="4">
        <v>74</v>
      </c>
      <c r="I312" s="4" t="s">
        <v>40</v>
      </c>
      <c r="J312" s="4" t="s">
        <v>41</v>
      </c>
    </row>
    <row r="313" spans="1:10" x14ac:dyDescent="0.25">
      <c r="A313" s="4" t="s">
        <v>768</v>
      </c>
      <c r="B313" s="4" t="s">
        <v>769</v>
      </c>
      <c r="C313" s="4" t="s">
        <v>311</v>
      </c>
      <c r="D313" s="4">
        <v>250.5</v>
      </c>
      <c r="E313" s="4">
        <v>177264197632</v>
      </c>
      <c r="F313" s="4">
        <v>20.26699</v>
      </c>
      <c r="G313" s="4">
        <v>14929999872</v>
      </c>
      <c r="H313" s="4">
        <v>58</v>
      </c>
      <c r="I313" s="4" t="s">
        <v>40</v>
      </c>
      <c r="J313" s="4" t="s">
        <v>41</v>
      </c>
    </row>
    <row r="314" spans="1:10" x14ac:dyDescent="0.25">
      <c r="A314" s="4" t="s">
        <v>770</v>
      </c>
      <c r="B314" s="4" t="s">
        <v>771</v>
      </c>
      <c r="C314" s="4" t="s">
        <v>266</v>
      </c>
      <c r="D314" s="4">
        <v>960.56</v>
      </c>
      <c r="E314" s="4">
        <v>111992037376</v>
      </c>
      <c r="F314" s="4">
        <v>25.745375</v>
      </c>
      <c r="G314" s="4">
        <v>7071000064</v>
      </c>
      <c r="I314" s="4" t="s">
        <v>40</v>
      </c>
      <c r="J314" s="4" t="s">
        <v>41</v>
      </c>
    </row>
    <row r="315" spans="1:10" x14ac:dyDescent="0.25">
      <c r="A315" s="4" t="s">
        <v>772</v>
      </c>
      <c r="B315" s="4" t="s">
        <v>773</v>
      </c>
      <c r="C315" s="4" t="s">
        <v>47</v>
      </c>
      <c r="D315" s="4">
        <v>94.78</v>
      </c>
      <c r="E315" s="4">
        <v>121236692992</v>
      </c>
      <c r="F315" s="4">
        <v>23.287468</v>
      </c>
      <c r="G315" s="4">
        <v>10407999488</v>
      </c>
      <c r="H315" s="4">
        <v>78</v>
      </c>
      <c r="I315" s="4" t="s">
        <v>40</v>
      </c>
      <c r="J315" s="4" t="s">
        <v>41</v>
      </c>
    </row>
    <row r="316" spans="1:10" x14ac:dyDescent="0.25">
      <c r="A316" s="4" t="s">
        <v>774</v>
      </c>
      <c r="B316" s="4" t="s">
        <v>775</v>
      </c>
      <c r="C316" s="4" t="s">
        <v>232</v>
      </c>
      <c r="D316" s="4">
        <v>140.93</v>
      </c>
      <c r="E316" s="4">
        <v>347698462720</v>
      </c>
      <c r="F316" s="4">
        <v>111.849205</v>
      </c>
      <c r="G316" s="4">
        <v>28871000064</v>
      </c>
      <c r="H316" s="4">
        <v>22</v>
      </c>
      <c r="I316" s="4" t="s">
        <v>40</v>
      </c>
      <c r="J316" s="4" t="s">
        <v>41</v>
      </c>
    </row>
    <row r="317" spans="1:10" x14ac:dyDescent="0.25">
      <c r="A317" s="4" t="s">
        <v>776</v>
      </c>
      <c r="B317" s="4" t="s">
        <v>777</v>
      </c>
      <c r="C317" s="4" t="s">
        <v>97</v>
      </c>
      <c r="D317" s="4">
        <v>612.49</v>
      </c>
      <c r="E317" s="4">
        <v>1594209206272</v>
      </c>
      <c r="F317" s="4">
        <v>20.896963</v>
      </c>
      <c r="G317" s="4">
        <v>116190003200</v>
      </c>
      <c r="I317" s="4" t="s">
        <v>40</v>
      </c>
      <c r="J317" s="4" t="s">
        <v>41</v>
      </c>
    </row>
    <row r="318" spans="1:10" x14ac:dyDescent="0.25">
      <c r="A318" s="4" t="s">
        <v>778</v>
      </c>
      <c r="B318" s="4" t="s">
        <v>779</v>
      </c>
      <c r="C318" s="4" t="s">
        <v>65</v>
      </c>
      <c r="D318" s="4">
        <v>99.64</v>
      </c>
      <c r="E318" s="4">
        <v>63318921216</v>
      </c>
      <c r="F318" s="4">
        <v>19.088123</v>
      </c>
      <c r="G318" s="4">
        <v>6040000000</v>
      </c>
      <c r="I318" s="4" t="s">
        <v>40</v>
      </c>
      <c r="J318" s="4" t="s">
        <v>41</v>
      </c>
    </row>
    <row r="319" spans="1:10" x14ac:dyDescent="0.25">
      <c r="A319" s="4" t="s">
        <v>780</v>
      </c>
      <c r="B319" s="4" t="s">
        <v>781</v>
      </c>
      <c r="C319" s="4" t="s">
        <v>68</v>
      </c>
      <c r="D319" s="4">
        <v>1698.47</v>
      </c>
      <c r="E319" s="4">
        <v>34031495168</v>
      </c>
      <c r="F319" s="4">
        <v>38.279694</v>
      </c>
      <c r="G319" s="4">
        <v>1275713024</v>
      </c>
      <c r="H319" s="4">
        <v>44</v>
      </c>
      <c r="I319" s="4" t="s">
        <v>40</v>
      </c>
      <c r="J319" s="4" t="s">
        <v>41</v>
      </c>
    </row>
    <row r="320" spans="1:10" x14ac:dyDescent="0.25">
      <c r="A320" s="4" t="s">
        <v>782</v>
      </c>
      <c r="B320" s="4" t="s">
        <v>783</v>
      </c>
      <c r="C320" s="4" t="s">
        <v>256</v>
      </c>
      <c r="D320" s="4">
        <v>27.27</v>
      </c>
      <c r="E320" s="4">
        <v>6860934656</v>
      </c>
      <c r="F320" s="4">
        <v>17.259493</v>
      </c>
      <c r="G320" s="4">
        <v>2237483008</v>
      </c>
      <c r="I320" s="4" t="s">
        <v>40</v>
      </c>
      <c r="J320" s="4" t="s">
        <v>41</v>
      </c>
    </row>
    <row r="321" spans="1:10" x14ac:dyDescent="0.25">
      <c r="A321" s="4" t="s">
        <v>784</v>
      </c>
      <c r="B321" s="4" t="s">
        <v>785</v>
      </c>
      <c r="C321" s="4" t="s">
        <v>59</v>
      </c>
      <c r="D321" s="4">
        <v>79.63</v>
      </c>
      <c r="E321" s="4">
        <v>43239780352</v>
      </c>
      <c r="F321" s="4">
        <v>117.102936</v>
      </c>
      <c r="G321" s="4">
        <v>1506099968</v>
      </c>
      <c r="H321" s="4">
        <v>19</v>
      </c>
      <c r="I321" s="4" t="s">
        <v>40</v>
      </c>
      <c r="J321" s="4" t="s">
        <v>41</v>
      </c>
    </row>
    <row r="322" spans="1:10" x14ac:dyDescent="0.25">
      <c r="A322" s="4" t="s">
        <v>786</v>
      </c>
      <c r="B322" s="4" t="s">
        <v>787</v>
      </c>
      <c r="C322" s="4" t="s">
        <v>59</v>
      </c>
      <c r="D322" s="4">
        <v>983.23</v>
      </c>
      <c r="E322" s="4">
        <v>1112449220608</v>
      </c>
      <c r="F322" s="4">
        <v>12.49498</v>
      </c>
      <c r="G322" s="4">
        <v>108842999808</v>
      </c>
      <c r="H322" s="4">
        <v>89</v>
      </c>
      <c r="I322" s="4" t="s">
        <v>40</v>
      </c>
      <c r="J322" s="4" t="s">
        <v>41</v>
      </c>
    </row>
    <row r="323" spans="1:10" x14ac:dyDescent="0.25">
      <c r="A323" s="4" t="s">
        <v>788</v>
      </c>
      <c r="B323" s="4" t="s">
        <v>789</v>
      </c>
      <c r="C323" s="4" t="s">
        <v>376</v>
      </c>
      <c r="D323" s="4">
        <v>531.01</v>
      </c>
      <c r="E323" s="4">
        <v>3943039238144</v>
      </c>
      <c r="F323" s="4">
        <v>29.58273</v>
      </c>
      <c r="G323" s="4">
        <v>194237005824</v>
      </c>
      <c r="H323" s="4">
        <v>75</v>
      </c>
      <c r="I323" s="4" t="s">
        <v>40</v>
      </c>
      <c r="J323" s="4" t="s">
        <v>41</v>
      </c>
    </row>
    <row r="324" spans="1:10" x14ac:dyDescent="0.25">
      <c r="A324" s="4" t="s">
        <v>790</v>
      </c>
      <c r="B324" s="4" t="s">
        <v>791</v>
      </c>
      <c r="C324" s="4" t="s">
        <v>187</v>
      </c>
      <c r="D324" s="4">
        <v>116.75</v>
      </c>
      <c r="E324" s="4">
        <v>13931384832</v>
      </c>
      <c r="F324" s="4">
        <v>34.747025</v>
      </c>
      <c r="G324" s="4">
        <v>1238054016</v>
      </c>
      <c r="I324" s="4" t="s">
        <v>40</v>
      </c>
      <c r="J324" s="4" t="s">
        <v>41</v>
      </c>
    </row>
    <row r="325" spans="1:10" x14ac:dyDescent="0.25">
      <c r="A325" s="4" t="s">
        <v>792</v>
      </c>
      <c r="B325" s="4" t="s">
        <v>793</v>
      </c>
      <c r="C325" s="4" t="s">
        <v>50</v>
      </c>
      <c r="D325" s="4">
        <v>214.165</v>
      </c>
      <c r="E325" s="4">
        <v>85502353408</v>
      </c>
      <c r="G325" s="4">
        <v>-2195000064</v>
      </c>
      <c r="I325" s="4" t="s">
        <v>40</v>
      </c>
      <c r="J325" s="4" t="s">
        <v>41</v>
      </c>
    </row>
    <row r="326" spans="1:10" x14ac:dyDescent="0.25">
      <c r="A326" s="4" t="s">
        <v>794</v>
      </c>
      <c r="B326" s="4" t="s">
        <v>795</v>
      </c>
      <c r="C326" s="4" t="s">
        <v>796</v>
      </c>
      <c r="D326" s="4">
        <v>127.78</v>
      </c>
      <c r="E326" s="4">
        <v>8655580160</v>
      </c>
      <c r="F326" s="4">
        <v>16.924503</v>
      </c>
      <c r="G326" s="4">
        <v>1504199936</v>
      </c>
      <c r="I326" s="4" t="s">
        <v>40</v>
      </c>
      <c r="J326" s="4" t="s">
        <v>41</v>
      </c>
    </row>
    <row r="327" spans="1:10" x14ac:dyDescent="0.25">
      <c r="A327" s="4" t="s">
        <v>797</v>
      </c>
      <c r="B327" s="4" t="s">
        <v>798</v>
      </c>
      <c r="C327" s="4" t="s">
        <v>292</v>
      </c>
      <c r="D327" s="4">
        <v>198.1</v>
      </c>
      <c r="E327" s="4">
        <v>10301200384</v>
      </c>
      <c r="G327" s="4">
        <v>352000000</v>
      </c>
      <c r="I327" s="4" t="s">
        <v>40</v>
      </c>
      <c r="J327" s="4" t="s">
        <v>41</v>
      </c>
    </row>
    <row r="328" spans="1:10" x14ac:dyDescent="0.25">
      <c r="A328" s="4" t="s">
        <v>799</v>
      </c>
      <c r="B328" s="4" t="s">
        <v>800</v>
      </c>
      <c r="C328" s="4" t="s">
        <v>801</v>
      </c>
      <c r="D328" s="4">
        <v>39.24</v>
      </c>
      <c r="E328" s="4">
        <v>7316452864</v>
      </c>
      <c r="G328" s="4">
        <v>2263399936</v>
      </c>
      <c r="I328" s="4" t="s">
        <v>40</v>
      </c>
      <c r="J328" s="4" t="s">
        <v>41</v>
      </c>
    </row>
    <row r="329" spans="1:10" x14ac:dyDescent="0.25">
      <c r="A329" s="4" t="s">
        <v>802</v>
      </c>
      <c r="B329" s="4" t="s">
        <v>803</v>
      </c>
      <c r="C329" s="4" t="s">
        <v>261</v>
      </c>
      <c r="D329" s="4">
        <v>61.87</v>
      </c>
      <c r="E329" s="4">
        <v>79419408384</v>
      </c>
      <c r="F329" s="4">
        <v>22.914814</v>
      </c>
      <c r="G329" s="4">
        <v>6080000000</v>
      </c>
      <c r="H329" s="4">
        <v>36</v>
      </c>
      <c r="I329" s="4" t="s">
        <v>40</v>
      </c>
      <c r="J329" s="4" t="s">
        <v>41</v>
      </c>
    </row>
    <row r="330" spans="1:10" x14ac:dyDescent="0.25">
      <c r="A330" s="4" t="s">
        <v>804</v>
      </c>
      <c r="B330" s="4" t="s">
        <v>805</v>
      </c>
      <c r="C330" s="4" t="s">
        <v>59</v>
      </c>
      <c r="D330" s="4">
        <v>1211.22</v>
      </c>
      <c r="E330" s="4">
        <v>59522981888</v>
      </c>
      <c r="F330" s="4">
        <v>73.720024</v>
      </c>
      <c r="G330" s="4">
        <v>1000281984</v>
      </c>
      <c r="H330" s="4">
        <v>15</v>
      </c>
      <c r="I330" s="4" t="s">
        <v>40</v>
      </c>
      <c r="J330" s="4" t="s">
        <v>41</v>
      </c>
    </row>
    <row r="331" spans="1:10" x14ac:dyDescent="0.25">
      <c r="A331" s="4" t="s">
        <v>806</v>
      </c>
      <c r="B331" s="4" t="s">
        <v>807</v>
      </c>
      <c r="C331" s="4" t="s">
        <v>339</v>
      </c>
      <c r="D331" s="4">
        <v>45.66</v>
      </c>
      <c r="E331" s="4">
        <v>89450307584</v>
      </c>
      <c r="F331" s="4">
        <v>42.277775</v>
      </c>
      <c r="G331" s="4">
        <v>2933317120</v>
      </c>
      <c r="I331" s="4" t="s">
        <v>40</v>
      </c>
      <c r="J331" s="4" t="s">
        <v>41</v>
      </c>
    </row>
    <row r="332" spans="1:10" x14ac:dyDescent="0.25">
      <c r="A332" s="4" t="s">
        <v>808</v>
      </c>
      <c r="B332" s="4" t="s">
        <v>809</v>
      </c>
      <c r="C332" s="4" t="s">
        <v>280</v>
      </c>
      <c r="D332" s="4">
        <v>477.27</v>
      </c>
      <c r="E332" s="4">
        <v>82292842496</v>
      </c>
      <c r="F332" s="4">
        <v>29.754986</v>
      </c>
      <c r="G332" s="4">
        <v>4048999936</v>
      </c>
      <c r="I332" s="4" t="s">
        <v>40</v>
      </c>
      <c r="J332" s="4" t="s">
        <v>41</v>
      </c>
    </row>
    <row r="333" spans="1:10" x14ac:dyDescent="0.25">
      <c r="A333" s="4" t="s">
        <v>810</v>
      </c>
      <c r="B333" s="4" t="s">
        <v>811</v>
      </c>
      <c r="C333" s="4" t="s">
        <v>302</v>
      </c>
      <c r="D333" s="4">
        <v>190.13</v>
      </c>
      <c r="E333" s="4">
        <v>297553461248</v>
      </c>
      <c r="F333" s="4">
        <v>15.077717</v>
      </c>
      <c r="I333" s="4" t="s">
        <v>40</v>
      </c>
      <c r="J333" s="4" t="s">
        <v>41</v>
      </c>
    </row>
    <row r="334" spans="1:10" x14ac:dyDescent="0.25">
      <c r="A334" s="4" t="s">
        <v>812</v>
      </c>
      <c r="B334" s="4" t="s">
        <v>813</v>
      </c>
      <c r="C334" s="4" t="s">
        <v>297</v>
      </c>
      <c r="D334" s="4">
        <v>18.33</v>
      </c>
      <c r="E334" s="4">
        <v>5827027456</v>
      </c>
      <c r="G334" s="4">
        <v>1718700032</v>
      </c>
      <c r="I334" s="4" t="s">
        <v>40</v>
      </c>
      <c r="J334" s="4" t="s">
        <v>41</v>
      </c>
    </row>
    <row r="335" spans="1:10" x14ac:dyDescent="0.25">
      <c r="A335" s="4" t="s">
        <v>814</v>
      </c>
      <c r="B335" s="4" t="s">
        <v>815</v>
      </c>
      <c r="C335" s="4" t="s">
        <v>166</v>
      </c>
      <c r="D335" s="4">
        <v>483.39</v>
      </c>
      <c r="E335" s="4">
        <v>79998050304</v>
      </c>
      <c r="F335" s="4">
        <v>38.0922</v>
      </c>
      <c r="G335" s="4">
        <v>3758000128</v>
      </c>
      <c r="I335" s="4" t="s">
        <v>40</v>
      </c>
      <c r="J335" s="4" t="s">
        <v>41</v>
      </c>
    </row>
    <row r="336" spans="1:10" x14ac:dyDescent="0.25">
      <c r="A336" s="4" t="s">
        <v>816</v>
      </c>
      <c r="B336" s="4" t="s">
        <v>816</v>
      </c>
      <c r="C336" s="4" t="s">
        <v>280</v>
      </c>
      <c r="D336" s="4">
        <v>604.94</v>
      </c>
      <c r="E336" s="4">
        <v>43979137024</v>
      </c>
      <c r="F336" s="4">
        <v>31.990482</v>
      </c>
      <c r="G336" s="4">
        <v>2018498944</v>
      </c>
      <c r="I336" s="4" t="s">
        <v>40</v>
      </c>
      <c r="J336" s="4" t="s">
        <v>41</v>
      </c>
    </row>
    <row r="337" spans="1:10" x14ac:dyDescent="0.25">
      <c r="A337" s="4" t="s">
        <v>817</v>
      </c>
      <c r="B337" s="4" t="s">
        <v>818</v>
      </c>
      <c r="C337" s="4" t="s">
        <v>280</v>
      </c>
      <c r="D337" s="4">
        <v>105.55</v>
      </c>
      <c r="E337" s="4">
        <v>59000061952</v>
      </c>
      <c r="F337" s="4">
        <v>28.527027</v>
      </c>
      <c r="G337" s="4">
        <v>3487000064</v>
      </c>
      <c r="I337" s="4" t="s">
        <v>40</v>
      </c>
      <c r="J337" s="4" t="s">
        <v>41</v>
      </c>
    </row>
    <row r="338" spans="1:10" x14ac:dyDescent="0.25">
      <c r="A338" s="4" t="s">
        <v>819</v>
      </c>
      <c r="B338" s="4" t="s">
        <v>820</v>
      </c>
      <c r="C338" s="4" t="s">
        <v>152</v>
      </c>
      <c r="D338" s="4">
        <v>223.66</v>
      </c>
      <c r="E338" s="4">
        <v>43931074560</v>
      </c>
      <c r="F338" s="4">
        <v>32.088955</v>
      </c>
      <c r="G338" s="4">
        <v>2095000064</v>
      </c>
      <c r="H338" s="4">
        <v>36</v>
      </c>
      <c r="I338" s="4" t="s">
        <v>40</v>
      </c>
      <c r="J338" s="4" t="s">
        <v>41</v>
      </c>
    </row>
    <row r="339" spans="1:10" x14ac:dyDescent="0.25">
      <c r="A339" s="4" t="s">
        <v>821</v>
      </c>
      <c r="B339" s="4" t="s">
        <v>822</v>
      </c>
      <c r="C339" s="4" t="s">
        <v>730</v>
      </c>
      <c r="D339" s="4">
        <v>61.99</v>
      </c>
      <c r="E339" s="4">
        <v>258122629120</v>
      </c>
      <c r="F339" s="4">
        <v>18.072886</v>
      </c>
      <c r="G339" s="4">
        <v>15957057536</v>
      </c>
      <c r="I339" s="4" t="s">
        <v>40</v>
      </c>
      <c r="J339" s="4" t="s">
        <v>41</v>
      </c>
    </row>
    <row r="340" spans="1:10" x14ac:dyDescent="0.25">
      <c r="A340" s="4" t="s">
        <v>823</v>
      </c>
      <c r="B340" s="4" t="s">
        <v>824</v>
      </c>
      <c r="C340" s="4" t="s">
        <v>825</v>
      </c>
      <c r="D340" s="4">
        <v>113.92</v>
      </c>
      <c r="E340" s="4">
        <v>118384885760</v>
      </c>
      <c r="F340" s="4">
        <v>13.215777</v>
      </c>
      <c r="G340" s="4">
        <v>17613000704</v>
      </c>
      <c r="I340" s="4" t="s">
        <v>40</v>
      </c>
      <c r="J340" s="4" t="s">
        <v>41</v>
      </c>
    </row>
    <row r="341" spans="1:10" x14ac:dyDescent="0.25">
      <c r="A341" s="4" t="s">
        <v>826</v>
      </c>
      <c r="B341" s="4" t="s">
        <v>827</v>
      </c>
      <c r="C341" s="4" t="s">
        <v>828</v>
      </c>
      <c r="D341" s="4">
        <v>29.31</v>
      </c>
      <c r="E341" s="4">
        <v>15781569536</v>
      </c>
      <c r="F341" s="4">
        <v>28.45631</v>
      </c>
      <c r="G341" s="4">
        <v>1338000000</v>
      </c>
      <c r="I341" s="4" t="s">
        <v>40</v>
      </c>
      <c r="J341" s="4" t="s">
        <v>41</v>
      </c>
    </row>
    <row r="342" spans="1:10" x14ac:dyDescent="0.25">
      <c r="A342" s="4" t="s">
        <v>829</v>
      </c>
      <c r="B342" s="4" t="s">
        <v>830</v>
      </c>
      <c r="C342" s="4" t="s">
        <v>828</v>
      </c>
      <c r="D342" s="4">
        <v>32.015</v>
      </c>
      <c r="E342" s="4">
        <v>17238038528</v>
      </c>
      <c r="F342" s="4">
        <v>31.082525</v>
      </c>
      <c r="G342" s="4">
        <v>1338000000</v>
      </c>
      <c r="I342" s="4" t="s">
        <v>40</v>
      </c>
      <c r="J342" s="4" t="s">
        <v>41</v>
      </c>
    </row>
    <row r="343" spans="1:10" x14ac:dyDescent="0.25">
      <c r="A343" s="4" t="s">
        <v>831</v>
      </c>
      <c r="B343" s="4" t="s">
        <v>832</v>
      </c>
      <c r="C343" s="4" t="s">
        <v>114</v>
      </c>
      <c r="D343" s="4">
        <v>81.02</v>
      </c>
      <c r="E343" s="4">
        <v>169923739648</v>
      </c>
      <c r="F343" s="4">
        <v>14.598197</v>
      </c>
      <c r="G343" s="4">
        <v>13400999936</v>
      </c>
      <c r="H343" s="4">
        <v>54</v>
      </c>
      <c r="I343" s="4" t="s">
        <v>40</v>
      </c>
      <c r="J343" s="4" t="s">
        <v>41</v>
      </c>
    </row>
    <row r="344" spans="1:10" x14ac:dyDescent="0.25">
      <c r="A344" s="4" t="s">
        <v>833</v>
      </c>
      <c r="B344" s="4" t="s">
        <v>834</v>
      </c>
      <c r="C344" s="4" t="s">
        <v>741</v>
      </c>
      <c r="D344" s="4">
        <v>37.15</v>
      </c>
      <c r="E344" s="4">
        <v>55179223040</v>
      </c>
      <c r="F344" s="4">
        <v>17.860579</v>
      </c>
      <c r="G344" s="4">
        <v>4893000192</v>
      </c>
      <c r="I344" s="4" t="s">
        <v>40</v>
      </c>
      <c r="J344" s="4" t="s">
        <v>41</v>
      </c>
    </row>
    <row r="345" spans="1:10" x14ac:dyDescent="0.25">
      <c r="A345" s="4" t="s">
        <v>835</v>
      </c>
      <c r="B345" s="4" t="s">
        <v>836</v>
      </c>
      <c r="C345" s="4" t="s">
        <v>114</v>
      </c>
      <c r="D345" s="4">
        <v>43.87</v>
      </c>
      <c r="E345" s="4">
        <v>21038301184</v>
      </c>
      <c r="F345" s="4">
        <v>23.335106</v>
      </c>
      <c r="G345" s="4">
        <v>3025999872</v>
      </c>
      <c r="H345" s="4">
        <v>39</v>
      </c>
      <c r="I345" s="4" t="s">
        <v>40</v>
      </c>
      <c r="J345" s="4" t="s">
        <v>41</v>
      </c>
    </row>
    <row r="346" spans="1:10" x14ac:dyDescent="0.25">
      <c r="A346" s="4" t="s">
        <v>837</v>
      </c>
      <c r="B346" s="4" t="s">
        <v>838</v>
      </c>
      <c r="C346" s="4" t="s">
        <v>429</v>
      </c>
      <c r="D346" s="4">
        <v>326.02</v>
      </c>
      <c r="E346" s="4">
        <v>18165164032</v>
      </c>
      <c r="F346" s="4">
        <v>32.83182</v>
      </c>
      <c r="G346" s="4">
        <v>957891008</v>
      </c>
      <c r="H346" s="4">
        <v>18</v>
      </c>
      <c r="I346" s="4" t="s">
        <v>40</v>
      </c>
      <c r="J346" s="4" t="s">
        <v>41</v>
      </c>
    </row>
    <row r="347" spans="1:10" x14ac:dyDescent="0.25">
      <c r="A347" s="4" t="s">
        <v>839</v>
      </c>
      <c r="B347" s="4" t="s">
        <v>840</v>
      </c>
      <c r="C347" s="4" t="s">
        <v>381</v>
      </c>
      <c r="D347" s="4">
        <v>338.09</v>
      </c>
      <c r="E347" s="4">
        <v>75940659200</v>
      </c>
      <c r="F347" s="4">
        <v>28.84727</v>
      </c>
      <c r="G347" s="4">
        <v>5792000000</v>
      </c>
      <c r="I347" s="4" t="s">
        <v>40</v>
      </c>
      <c r="J347" s="4" t="s">
        <v>41</v>
      </c>
    </row>
    <row r="348" spans="1:10" x14ac:dyDescent="0.25">
      <c r="A348" s="4" t="s">
        <v>841</v>
      </c>
      <c r="B348" s="4" t="s">
        <v>842</v>
      </c>
      <c r="C348" s="4" t="s">
        <v>131</v>
      </c>
      <c r="D348" s="4">
        <v>171.9</v>
      </c>
      <c r="E348" s="4">
        <v>31450075136</v>
      </c>
      <c r="F348" s="4">
        <v>13.482352</v>
      </c>
      <c r="I348" s="4" t="s">
        <v>40</v>
      </c>
      <c r="J348" s="4" t="s">
        <v>41</v>
      </c>
    </row>
    <row r="349" spans="1:10" x14ac:dyDescent="0.25">
      <c r="A349" s="4" t="s">
        <v>843</v>
      </c>
      <c r="B349" s="4" t="s">
        <v>844</v>
      </c>
      <c r="C349" s="4" t="s">
        <v>192</v>
      </c>
      <c r="D349" s="4">
        <v>552.77</v>
      </c>
      <c r="E349" s="4">
        <v>78528995328</v>
      </c>
      <c r="F349" s="4">
        <v>17.44855</v>
      </c>
      <c r="G349" s="4">
        <v>7312999936</v>
      </c>
      <c r="H349" s="4">
        <v>74</v>
      </c>
      <c r="I349" s="4" t="s">
        <v>40</v>
      </c>
      <c r="J349" s="4" t="s">
        <v>41</v>
      </c>
    </row>
    <row r="350" spans="1:10" x14ac:dyDescent="0.25">
      <c r="A350" s="4" t="s">
        <v>845</v>
      </c>
      <c r="B350" s="4" t="s">
        <v>846</v>
      </c>
      <c r="C350" s="4" t="s">
        <v>74</v>
      </c>
      <c r="D350" s="4">
        <v>16.06</v>
      </c>
      <c r="E350" s="4">
        <v>7374556672</v>
      </c>
      <c r="F350" s="4">
        <v>9.733334</v>
      </c>
      <c r="G350" s="4">
        <v>2594191872</v>
      </c>
      <c r="H350" s="4">
        <v>94</v>
      </c>
      <c r="I350" s="4" t="s">
        <v>40</v>
      </c>
      <c r="J350" s="4" t="s">
        <v>41</v>
      </c>
    </row>
    <row r="351" spans="1:10" x14ac:dyDescent="0.25">
      <c r="A351" s="4" t="s">
        <v>847</v>
      </c>
      <c r="B351" s="4" t="s">
        <v>848</v>
      </c>
      <c r="C351" s="4" t="s">
        <v>62</v>
      </c>
      <c r="D351" s="4">
        <v>96.97</v>
      </c>
      <c r="E351" s="4">
        <v>20384110592</v>
      </c>
      <c r="F351" s="4">
        <v>25.384817</v>
      </c>
      <c r="G351" s="4">
        <v>3252999936</v>
      </c>
      <c r="I351" s="4" t="s">
        <v>40</v>
      </c>
      <c r="J351" s="4" t="s">
        <v>41</v>
      </c>
    </row>
    <row r="352" spans="1:10" x14ac:dyDescent="0.25">
      <c r="A352" s="4" t="s">
        <v>849</v>
      </c>
      <c r="B352" s="4" t="s">
        <v>850</v>
      </c>
      <c r="C352" s="4" t="s">
        <v>851</v>
      </c>
      <c r="D352" s="4">
        <v>271.79</v>
      </c>
      <c r="E352" s="4">
        <v>61662543872</v>
      </c>
      <c r="F352" s="4">
        <v>22.223223</v>
      </c>
      <c r="G352" s="4">
        <v>6696000000</v>
      </c>
      <c r="I352" s="4" t="s">
        <v>40</v>
      </c>
      <c r="J352" s="4" t="s">
        <v>41</v>
      </c>
    </row>
    <row r="353" spans="1:10" x14ac:dyDescent="0.25">
      <c r="A353" s="4" t="s">
        <v>852</v>
      </c>
      <c r="B353" s="4" t="s">
        <v>853</v>
      </c>
      <c r="C353" s="4" t="s">
        <v>59</v>
      </c>
      <c r="D353" s="4">
        <v>215.38</v>
      </c>
      <c r="E353" s="4">
        <v>5200780722176</v>
      </c>
      <c r="F353" s="4">
        <v>27.5422</v>
      </c>
      <c r="G353" s="4">
        <v>201266003968</v>
      </c>
      <c r="H353" s="4">
        <v>55</v>
      </c>
      <c r="I353" s="4" t="s">
        <v>40</v>
      </c>
      <c r="J353" s="4" t="s">
        <v>41</v>
      </c>
    </row>
    <row r="354" spans="1:10" x14ac:dyDescent="0.25">
      <c r="A354" s="4" t="s">
        <v>854</v>
      </c>
      <c r="B354" s="4" t="s">
        <v>855</v>
      </c>
      <c r="C354" s="4" t="s">
        <v>388</v>
      </c>
      <c r="D354" s="4">
        <v>5792.63</v>
      </c>
      <c r="E354" s="4">
        <v>15436548096</v>
      </c>
      <c r="F354" s="4">
        <v>16.04918</v>
      </c>
      <c r="G354" s="4">
        <v>1427081984</v>
      </c>
      <c r="I354" s="4" t="s">
        <v>40</v>
      </c>
      <c r="J354" s="4" t="s">
        <v>41</v>
      </c>
    </row>
    <row r="355" spans="1:10" x14ac:dyDescent="0.25">
      <c r="A355" s="4" t="s">
        <v>856</v>
      </c>
      <c r="B355" s="4" t="s">
        <v>857</v>
      </c>
      <c r="C355" s="4" t="s">
        <v>59</v>
      </c>
      <c r="D355" s="4">
        <v>251.69</v>
      </c>
      <c r="E355" s="4">
        <v>63467200512</v>
      </c>
      <c r="F355" s="4">
        <v>21.641445</v>
      </c>
      <c r="G355" s="4">
        <v>5068000256</v>
      </c>
      <c r="H355" s="4">
        <v>75</v>
      </c>
      <c r="I355" s="4" t="s">
        <v>40</v>
      </c>
      <c r="J355" s="4" t="s">
        <v>41</v>
      </c>
    </row>
    <row r="356" spans="1:10" x14ac:dyDescent="0.25">
      <c r="A356" s="4" t="s">
        <v>858</v>
      </c>
      <c r="B356" s="4" t="s">
        <v>859</v>
      </c>
      <c r="C356" s="4" t="s">
        <v>184</v>
      </c>
      <c r="D356" s="4">
        <v>90.44</v>
      </c>
      <c r="E356" s="4">
        <v>73162416128</v>
      </c>
      <c r="F356" s="4">
        <v>28.529968</v>
      </c>
      <c r="G356" s="4">
        <v>4169743872</v>
      </c>
      <c r="I356" s="4" t="s">
        <v>40</v>
      </c>
      <c r="J356" s="4" t="s">
        <v>41</v>
      </c>
    </row>
    <row r="357" spans="1:10" x14ac:dyDescent="0.25">
      <c r="A357" s="4" t="s">
        <v>860</v>
      </c>
      <c r="B357" s="4" t="s">
        <v>861</v>
      </c>
      <c r="C357" s="4" t="s">
        <v>149</v>
      </c>
      <c r="D357" s="4">
        <v>62.86</v>
      </c>
      <c r="E357" s="4">
        <v>62837207040</v>
      </c>
      <c r="F357" s="4">
        <v>17.807365</v>
      </c>
      <c r="G357" s="4">
        <v>13717999616</v>
      </c>
      <c r="H357" s="4">
        <v>53</v>
      </c>
      <c r="I357" s="4" t="s">
        <v>40</v>
      </c>
      <c r="J357" s="4" t="s">
        <v>41</v>
      </c>
    </row>
    <row r="358" spans="1:10" x14ac:dyDescent="0.25">
      <c r="A358" s="4" t="s">
        <v>862</v>
      </c>
      <c r="B358" s="4" t="s">
        <v>863</v>
      </c>
      <c r="C358" s="4" t="s">
        <v>665</v>
      </c>
      <c r="D358" s="4">
        <v>173.32</v>
      </c>
      <c r="E358" s="4">
        <v>35939053568</v>
      </c>
      <c r="F358" s="4">
        <v>36.033264</v>
      </c>
      <c r="G358" s="4">
        <v>1793243008</v>
      </c>
      <c r="I358" s="4" t="s">
        <v>40</v>
      </c>
      <c r="J358" s="4" t="s">
        <v>41</v>
      </c>
    </row>
    <row r="359" spans="1:10" x14ac:dyDescent="0.25">
      <c r="A359" s="4" t="s">
        <v>864</v>
      </c>
      <c r="B359" s="4" t="s">
        <v>865</v>
      </c>
      <c r="C359" s="4" t="s">
        <v>648</v>
      </c>
      <c r="D359" s="4">
        <v>77.77</v>
      </c>
      <c r="E359" s="4">
        <v>22164932608</v>
      </c>
      <c r="F359" s="4">
        <v>79.35714</v>
      </c>
      <c r="G359" s="4">
        <v>4159600128</v>
      </c>
      <c r="I359" s="4" t="s">
        <v>40</v>
      </c>
      <c r="J359" s="4" t="s">
        <v>41</v>
      </c>
    </row>
    <row r="360" spans="1:10" x14ac:dyDescent="0.25">
      <c r="A360" s="4" t="s">
        <v>866</v>
      </c>
      <c r="B360" s="4" t="s">
        <v>867</v>
      </c>
      <c r="C360" s="4" t="s">
        <v>59</v>
      </c>
      <c r="D360" s="4">
        <v>75.63</v>
      </c>
      <c r="E360" s="4">
        <v>29444165632</v>
      </c>
      <c r="F360" s="4">
        <v>51.10135</v>
      </c>
      <c r="G360" s="4">
        <v>2089900032</v>
      </c>
      <c r="H360" s="4">
        <v>42</v>
      </c>
      <c r="I360" s="4" t="s">
        <v>40</v>
      </c>
      <c r="J360" s="4" t="s">
        <v>41</v>
      </c>
    </row>
    <row r="361" spans="1:10" x14ac:dyDescent="0.25">
      <c r="A361" s="4" t="s">
        <v>868</v>
      </c>
      <c r="B361" s="4" t="s">
        <v>869</v>
      </c>
      <c r="C361" s="4" t="s">
        <v>701</v>
      </c>
      <c r="D361" s="4">
        <v>94.54</v>
      </c>
      <c r="E361" s="4">
        <v>59598888960</v>
      </c>
      <c r="F361" s="4">
        <v>16.188356</v>
      </c>
      <c r="G361" s="4">
        <v>7670000128</v>
      </c>
      <c r="I361" s="4" t="s">
        <v>40</v>
      </c>
      <c r="J361" s="4" t="s">
        <v>41</v>
      </c>
    </row>
    <row r="362" spans="1:10" x14ac:dyDescent="0.25">
      <c r="A362" s="4" t="s">
        <v>870</v>
      </c>
      <c r="B362" s="4" t="s">
        <v>871</v>
      </c>
      <c r="C362" s="4" t="s">
        <v>56</v>
      </c>
      <c r="D362" s="4">
        <v>144.54</v>
      </c>
      <c r="E362" s="4">
        <v>438173138944</v>
      </c>
      <c r="F362" s="4">
        <v>20.473087</v>
      </c>
      <c r="G362" s="4">
        <v>34432999424</v>
      </c>
      <c r="H362" s="4">
        <v>63</v>
      </c>
      <c r="I362" s="4" t="s">
        <v>40</v>
      </c>
      <c r="J362" s="4" t="s">
        <v>41</v>
      </c>
    </row>
    <row r="363" spans="1:10" x14ac:dyDescent="0.25">
      <c r="A363" s="4" t="s">
        <v>872</v>
      </c>
      <c r="B363" s="4" t="s">
        <v>873</v>
      </c>
      <c r="C363" s="4" t="s">
        <v>429</v>
      </c>
      <c r="D363" s="4">
        <v>72.87</v>
      </c>
      <c r="E363" s="4">
        <v>27739375616</v>
      </c>
      <c r="F363" s="4">
        <v>19.075918</v>
      </c>
      <c r="G363" s="4">
        <v>2640000000</v>
      </c>
      <c r="H363" s="4">
        <v>79</v>
      </c>
      <c r="I363" s="4" t="s">
        <v>40</v>
      </c>
      <c r="J363" s="4" t="s">
        <v>41</v>
      </c>
    </row>
    <row r="364" spans="1:10" x14ac:dyDescent="0.25">
      <c r="A364" s="4" t="s">
        <v>874</v>
      </c>
      <c r="B364" s="4" t="s">
        <v>875</v>
      </c>
      <c r="C364" s="4" t="s">
        <v>277</v>
      </c>
      <c r="D364" s="4">
        <v>102.42</v>
      </c>
      <c r="E364" s="4">
        <v>53924130816</v>
      </c>
      <c r="F364" s="4">
        <v>19.810444</v>
      </c>
      <c r="G364" s="4">
        <v>3601100032</v>
      </c>
      <c r="I364" s="4" t="s">
        <v>40</v>
      </c>
      <c r="J364" s="4" t="s">
        <v>41</v>
      </c>
    </row>
    <row r="365" spans="1:10" x14ac:dyDescent="0.25">
      <c r="A365" s="4" t="s">
        <v>876</v>
      </c>
      <c r="B365" s="4" t="s">
        <v>877</v>
      </c>
      <c r="C365" s="4" t="s">
        <v>108</v>
      </c>
      <c r="D365" s="4">
        <v>248.44</v>
      </c>
      <c r="E365" s="4">
        <v>22135580672</v>
      </c>
      <c r="F365" s="4">
        <v>31.211056</v>
      </c>
      <c r="G365" s="4">
        <v>1980499968</v>
      </c>
      <c r="I365" s="4" t="s">
        <v>40</v>
      </c>
      <c r="J365" s="4" t="s">
        <v>41</v>
      </c>
    </row>
    <row r="366" spans="1:10" x14ac:dyDescent="0.25">
      <c r="A366" s="4" t="s">
        <v>878</v>
      </c>
      <c r="B366" s="4" t="s">
        <v>879</v>
      </c>
      <c r="C366" s="4" t="s">
        <v>77</v>
      </c>
      <c r="D366" s="4">
        <v>196.81</v>
      </c>
      <c r="E366" s="4">
        <v>472945917952</v>
      </c>
      <c r="F366" s="4">
        <v>169.6638</v>
      </c>
      <c r="G366" s="4">
        <v>2662629888</v>
      </c>
      <c r="I366" s="4" t="s">
        <v>40</v>
      </c>
      <c r="J366" s="4" t="s">
        <v>41</v>
      </c>
    </row>
    <row r="367" spans="1:10" x14ac:dyDescent="0.25">
      <c r="A367" s="4" t="s">
        <v>880</v>
      </c>
      <c r="B367" s="4" t="s">
        <v>881</v>
      </c>
      <c r="C367" s="4" t="s">
        <v>376</v>
      </c>
      <c r="D367" s="4">
        <v>394.49</v>
      </c>
      <c r="E367" s="4">
        <v>322692808704</v>
      </c>
      <c r="F367" s="4">
        <v>1011.5128</v>
      </c>
      <c r="G367" s="4">
        <v>1560000000</v>
      </c>
      <c r="H367" s="4">
        <v>25</v>
      </c>
      <c r="I367" s="4" t="s">
        <v>40</v>
      </c>
      <c r="J367" s="4" t="s">
        <v>41</v>
      </c>
    </row>
    <row r="368" spans="1:10" x14ac:dyDescent="0.25">
      <c r="A368" s="4" t="s">
        <v>882</v>
      </c>
      <c r="B368" s="4" t="s">
        <v>883</v>
      </c>
      <c r="C368" s="4" t="s">
        <v>730</v>
      </c>
      <c r="D368" s="4">
        <v>3.36</v>
      </c>
      <c r="E368" s="4">
        <v>1750906</v>
      </c>
      <c r="G368" s="4">
        <v>-17672508</v>
      </c>
      <c r="I368" s="4" t="s">
        <v>40</v>
      </c>
      <c r="J368" s="4" t="s">
        <v>41</v>
      </c>
    </row>
    <row r="369" spans="1:10" x14ac:dyDescent="0.25">
      <c r="A369" s="4" t="s">
        <v>884</v>
      </c>
      <c r="B369" s="4" t="s">
        <v>885</v>
      </c>
      <c r="C369" s="4" t="s">
        <v>429</v>
      </c>
      <c r="D369" s="4">
        <v>911.92</v>
      </c>
      <c r="E369" s="4">
        <v>115004432384</v>
      </c>
      <c r="F369" s="4">
        <v>31.63094</v>
      </c>
      <c r="G369" s="4">
        <v>5664000000</v>
      </c>
      <c r="H369" s="4">
        <v>21</v>
      </c>
      <c r="I369" s="4" t="s">
        <v>40</v>
      </c>
      <c r="J369" s="4" t="s">
        <v>41</v>
      </c>
    </row>
    <row r="370" spans="1:10" x14ac:dyDescent="0.25">
      <c r="A370" s="4" t="s">
        <v>886</v>
      </c>
      <c r="B370" s="4" t="s">
        <v>887</v>
      </c>
      <c r="C370" s="4" t="s">
        <v>181</v>
      </c>
      <c r="D370" s="4">
        <v>108.21</v>
      </c>
      <c r="E370" s="4">
        <v>38520647680</v>
      </c>
      <c r="F370" s="4">
        <v>21.685371</v>
      </c>
      <c r="G370" s="4">
        <v>3078000128</v>
      </c>
      <c r="I370" s="4" t="s">
        <v>40</v>
      </c>
      <c r="J370" s="4" t="s">
        <v>41</v>
      </c>
    </row>
    <row r="371" spans="1:10" x14ac:dyDescent="0.25">
      <c r="A371" s="4" t="s">
        <v>888</v>
      </c>
      <c r="B371" s="4" t="s">
        <v>889</v>
      </c>
      <c r="C371" s="4" t="s">
        <v>181</v>
      </c>
      <c r="D371" s="4">
        <v>262.79</v>
      </c>
      <c r="E371" s="4">
        <v>11844371456</v>
      </c>
      <c r="F371" s="4">
        <v>27.720467</v>
      </c>
      <c r="G371" s="4">
        <v>735100032</v>
      </c>
      <c r="I371" s="4" t="s">
        <v>40</v>
      </c>
      <c r="J371" s="4" t="s">
        <v>41</v>
      </c>
    </row>
    <row r="372" spans="1:10" x14ac:dyDescent="0.25">
      <c r="A372" s="4" t="s">
        <v>890</v>
      </c>
      <c r="B372" s="4" t="s">
        <v>23</v>
      </c>
      <c r="C372" s="4" t="s">
        <v>364</v>
      </c>
      <c r="D372" s="4">
        <v>56.55</v>
      </c>
      <c r="E372" s="4">
        <v>47332347904</v>
      </c>
      <c r="F372" s="4">
        <v>10.7919855</v>
      </c>
      <c r="G372" s="4">
        <v>6417999872</v>
      </c>
      <c r="H372" s="4">
        <v>73</v>
      </c>
      <c r="I372" s="4" t="s">
        <v>40</v>
      </c>
      <c r="J372" s="4" t="s">
        <v>41</v>
      </c>
    </row>
    <row r="373" spans="1:10" x14ac:dyDescent="0.25">
      <c r="A373" s="4" t="s">
        <v>891</v>
      </c>
      <c r="B373" s="4" t="s">
        <v>892</v>
      </c>
      <c r="C373" s="4" t="s">
        <v>429</v>
      </c>
      <c r="D373" s="4">
        <v>64.37</v>
      </c>
      <c r="E373" s="4">
        <v>10402548736</v>
      </c>
      <c r="F373" s="4">
        <v>16.984169</v>
      </c>
      <c r="G373" s="4">
        <v>1015100032</v>
      </c>
      <c r="H373" s="4">
        <v>91</v>
      </c>
      <c r="I373" s="4" t="s">
        <v>40</v>
      </c>
      <c r="J373" s="4" t="s">
        <v>41</v>
      </c>
    </row>
    <row r="374" spans="1:10" x14ac:dyDescent="0.25">
      <c r="A374" s="4" t="s">
        <v>893</v>
      </c>
      <c r="B374" s="4" t="s">
        <v>894</v>
      </c>
      <c r="C374" s="4" t="s">
        <v>339</v>
      </c>
      <c r="D374" s="4">
        <v>132.63</v>
      </c>
      <c r="E374" s="4">
        <v>180740358144</v>
      </c>
      <c r="F374" s="4">
        <v>16.788609</v>
      </c>
      <c r="G374" s="4">
        <v>19171000320</v>
      </c>
      <c r="I374" s="4" t="s">
        <v>40</v>
      </c>
      <c r="J374" s="4" t="s">
        <v>41</v>
      </c>
    </row>
    <row r="375" spans="1:10" x14ac:dyDescent="0.25">
      <c r="A375" s="4" t="s">
        <v>895</v>
      </c>
      <c r="B375" s="4" t="s">
        <v>896</v>
      </c>
      <c r="C375" s="4" t="s">
        <v>232</v>
      </c>
      <c r="D375" s="4">
        <v>29.45</v>
      </c>
      <c r="E375" s="4">
        <v>167855390720</v>
      </c>
      <c r="F375" s="4">
        <v>38.75</v>
      </c>
      <c r="G375" s="4">
        <v>25383000064</v>
      </c>
      <c r="H375" s="4">
        <v>65</v>
      </c>
      <c r="I375" s="4" t="s">
        <v>40</v>
      </c>
      <c r="J375" s="4" t="s">
        <v>41</v>
      </c>
    </row>
    <row r="376" spans="1:10" x14ac:dyDescent="0.25">
      <c r="A376" s="4" t="s">
        <v>897</v>
      </c>
      <c r="B376" s="4" t="s">
        <v>898</v>
      </c>
      <c r="C376" s="4" t="s">
        <v>114</v>
      </c>
      <c r="D376" s="4">
        <v>13.15</v>
      </c>
      <c r="E376" s="4">
        <v>39481122816</v>
      </c>
      <c r="F376" s="4">
        <v>9.59854</v>
      </c>
      <c r="G376" s="4">
        <v>10679000064</v>
      </c>
      <c r="H376" s="4">
        <v>96</v>
      </c>
      <c r="I376" s="4" t="s">
        <v>40</v>
      </c>
      <c r="J376" s="4" t="s">
        <v>41</v>
      </c>
    </row>
    <row r="377" spans="1:10" x14ac:dyDescent="0.25">
      <c r="A377" s="4" t="s">
        <v>899</v>
      </c>
      <c r="B377" s="4" t="s">
        <v>900</v>
      </c>
      <c r="C377" s="4" t="s">
        <v>102</v>
      </c>
      <c r="D377" s="4">
        <v>202.64</v>
      </c>
      <c r="E377" s="4">
        <v>315837415424</v>
      </c>
      <c r="F377" s="4">
        <v>29.582481</v>
      </c>
      <c r="G377" s="4">
        <v>20117999616</v>
      </c>
      <c r="I377" s="4" t="s">
        <v>40</v>
      </c>
      <c r="J377" s="4" t="s">
        <v>41</v>
      </c>
    </row>
    <row r="378" spans="1:10" x14ac:dyDescent="0.25">
      <c r="A378" s="4" t="s">
        <v>901</v>
      </c>
      <c r="B378" s="4" t="s">
        <v>902</v>
      </c>
      <c r="C378" s="4" t="s">
        <v>750</v>
      </c>
      <c r="D378" s="4">
        <v>273.76</v>
      </c>
      <c r="E378" s="4">
        <v>109235970048</v>
      </c>
      <c r="F378" s="4">
        <v>15.345292</v>
      </c>
      <c r="G378" s="4">
        <v>9925000192</v>
      </c>
      <c r="I378" s="4" t="s">
        <v>40</v>
      </c>
      <c r="J378" s="4" t="s">
        <v>41</v>
      </c>
    </row>
    <row r="379" spans="1:10" x14ac:dyDescent="0.25">
      <c r="A379" s="4" t="s">
        <v>903</v>
      </c>
      <c r="B379" s="4" t="s">
        <v>904</v>
      </c>
      <c r="C379" s="4" t="s">
        <v>114</v>
      </c>
      <c r="D379" s="4">
        <v>104.87</v>
      </c>
      <c r="E379" s="4">
        <v>12709954560</v>
      </c>
      <c r="F379" s="4">
        <v>20.402725</v>
      </c>
      <c r="G379" s="4">
        <v>2149111040</v>
      </c>
      <c r="H379" s="4">
        <v>73</v>
      </c>
      <c r="I379" s="4" t="s">
        <v>40</v>
      </c>
      <c r="J379" s="4" t="s">
        <v>41</v>
      </c>
    </row>
    <row r="380" spans="1:10" x14ac:dyDescent="0.25">
      <c r="A380" s="4" t="s">
        <v>905</v>
      </c>
      <c r="B380" s="4" t="s">
        <v>906</v>
      </c>
      <c r="C380" s="4" t="s">
        <v>201</v>
      </c>
      <c r="D380" s="4">
        <v>228.25</v>
      </c>
      <c r="E380" s="4">
        <v>90670612480</v>
      </c>
      <c r="F380" s="4">
        <v>12.153887</v>
      </c>
      <c r="I380" s="4" t="s">
        <v>40</v>
      </c>
      <c r="J380" s="4" t="s">
        <v>41</v>
      </c>
    </row>
    <row r="381" spans="1:10" x14ac:dyDescent="0.25">
      <c r="A381" s="4" t="s">
        <v>907</v>
      </c>
      <c r="B381" s="4" t="s">
        <v>908</v>
      </c>
      <c r="C381" s="4" t="s">
        <v>567</v>
      </c>
      <c r="D381" s="4">
        <v>195.59</v>
      </c>
      <c r="E381" s="4">
        <v>7107886592</v>
      </c>
      <c r="F381" s="4">
        <v>17.878428</v>
      </c>
      <c r="G381" s="4">
        <v>637728000</v>
      </c>
      <c r="I381" s="4" t="s">
        <v>40</v>
      </c>
      <c r="J381" s="4" t="s">
        <v>41</v>
      </c>
    </row>
    <row r="382" spans="1:10" x14ac:dyDescent="0.25">
      <c r="A382" s="4" t="s">
        <v>909</v>
      </c>
      <c r="B382" s="4" t="s">
        <v>910</v>
      </c>
      <c r="C382" s="4" t="s">
        <v>80</v>
      </c>
      <c r="D382" s="4">
        <v>118.44</v>
      </c>
      <c r="E382" s="4">
        <v>26329212928</v>
      </c>
      <c r="F382" s="4">
        <v>17.017242</v>
      </c>
      <c r="G382" s="4">
        <v>2697999872</v>
      </c>
      <c r="H382" s="4">
        <v>81</v>
      </c>
      <c r="I382" s="4" t="s">
        <v>40</v>
      </c>
      <c r="J382" s="4" t="s">
        <v>41</v>
      </c>
    </row>
    <row r="383" spans="1:10" x14ac:dyDescent="0.25">
      <c r="A383" s="4" t="s">
        <v>911</v>
      </c>
      <c r="B383" s="4" t="s">
        <v>912</v>
      </c>
      <c r="C383" s="4" t="s">
        <v>91</v>
      </c>
      <c r="D383" s="4">
        <v>35.09</v>
      </c>
      <c r="E383" s="4">
        <v>26406797312</v>
      </c>
      <c r="F383" s="4">
        <v>20.763313</v>
      </c>
      <c r="G383" s="4">
        <v>3759000064</v>
      </c>
      <c r="H383" s="4">
        <v>61</v>
      </c>
      <c r="I383" s="4" t="s">
        <v>40</v>
      </c>
      <c r="J383" s="4" t="s">
        <v>41</v>
      </c>
    </row>
    <row r="384" spans="1:10" x14ac:dyDescent="0.25">
      <c r="A384" s="4" t="s">
        <v>913</v>
      </c>
      <c r="B384" s="4" t="s">
        <v>914</v>
      </c>
      <c r="C384" s="4" t="s">
        <v>65</v>
      </c>
      <c r="D384" s="4">
        <v>111.84</v>
      </c>
      <c r="E384" s="4">
        <v>23799552000</v>
      </c>
      <c r="F384" s="4">
        <v>15.931623</v>
      </c>
      <c r="G384" s="4">
        <v>2797600000</v>
      </c>
      <c r="I384" s="4" t="s">
        <v>40</v>
      </c>
      <c r="J384" s="4" t="s">
        <v>41</v>
      </c>
    </row>
    <row r="385" spans="1:10" x14ac:dyDescent="0.25">
      <c r="A385" s="4" t="s">
        <v>915</v>
      </c>
      <c r="B385" s="4" t="s">
        <v>916</v>
      </c>
      <c r="C385" s="4" t="s">
        <v>481</v>
      </c>
      <c r="D385" s="4">
        <v>158.26</v>
      </c>
      <c r="E385" s="4">
        <v>366812332032</v>
      </c>
      <c r="F385" s="4">
        <v>23.978786</v>
      </c>
      <c r="G385" s="4">
        <v>25092999168</v>
      </c>
      <c r="I385" s="4" t="s">
        <v>40</v>
      </c>
      <c r="J385" s="4" t="s">
        <v>41</v>
      </c>
    </row>
    <row r="386" spans="1:10" x14ac:dyDescent="0.25">
      <c r="A386" s="4" t="s">
        <v>917</v>
      </c>
      <c r="B386" s="4" t="s">
        <v>918</v>
      </c>
      <c r="C386" s="4" t="s">
        <v>94</v>
      </c>
      <c r="D386" s="4">
        <v>225.66</v>
      </c>
      <c r="E386" s="4">
        <v>130769977344</v>
      </c>
      <c r="F386" s="4">
        <v>11.362537</v>
      </c>
      <c r="G386" s="4">
        <v>15335999488</v>
      </c>
      <c r="I386" s="4" t="s">
        <v>40</v>
      </c>
      <c r="J386" s="4" t="s">
        <v>41</v>
      </c>
    </row>
    <row r="387" spans="1:10" x14ac:dyDescent="0.25">
      <c r="A387" s="4" t="s">
        <v>919</v>
      </c>
      <c r="B387" s="4" t="s">
        <v>920</v>
      </c>
      <c r="C387" s="4" t="s">
        <v>921</v>
      </c>
      <c r="D387" s="4">
        <v>125.22</v>
      </c>
      <c r="E387" s="4">
        <v>121725288448</v>
      </c>
      <c r="F387" s="4">
        <v>28.076233</v>
      </c>
      <c r="G387" s="4">
        <v>6843426816</v>
      </c>
      <c r="I387" s="4" t="s">
        <v>40</v>
      </c>
      <c r="J387" s="4" t="s">
        <v>41</v>
      </c>
    </row>
    <row r="388" spans="1:10" x14ac:dyDescent="0.25">
      <c r="A388" s="4" t="s">
        <v>922</v>
      </c>
      <c r="B388" s="4" t="s">
        <v>923</v>
      </c>
      <c r="C388" s="4" t="s">
        <v>65</v>
      </c>
      <c r="D388" s="4">
        <v>115.37</v>
      </c>
      <c r="E388" s="4">
        <v>39802650624</v>
      </c>
      <c r="F388" s="4">
        <v>10.431284</v>
      </c>
      <c r="G388" s="4">
        <v>5206000128</v>
      </c>
      <c r="I388" s="4" t="s">
        <v>40</v>
      </c>
      <c r="J388" s="4" t="s">
        <v>41</v>
      </c>
    </row>
    <row r="389" spans="1:10" x14ac:dyDescent="0.25">
      <c r="A389" s="4" t="s">
        <v>924</v>
      </c>
      <c r="B389" s="4" t="s">
        <v>925</v>
      </c>
      <c r="C389" s="4" t="s">
        <v>56</v>
      </c>
      <c r="D389" s="4">
        <v>194.97</v>
      </c>
      <c r="E389" s="4">
        <v>21180024832</v>
      </c>
      <c r="F389" s="4">
        <v>18.874153</v>
      </c>
      <c r="G389" s="4">
        <v>1275965952</v>
      </c>
      <c r="H389" s="4">
        <v>69</v>
      </c>
      <c r="I389" s="4" t="s">
        <v>40</v>
      </c>
      <c r="J389" s="4" t="s">
        <v>41</v>
      </c>
    </row>
    <row r="390" spans="1:10" x14ac:dyDescent="0.25">
      <c r="A390" s="4" t="s">
        <v>926</v>
      </c>
      <c r="B390" s="4" t="s">
        <v>927</v>
      </c>
      <c r="C390" s="4" t="s">
        <v>91</v>
      </c>
      <c r="D390" s="4">
        <v>72.47</v>
      </c>
      <c r="E390" s="4">
        <v>36113354752</v>
      </c>
      <c r="F390" s="4">
        <v>18.1175</v>
      </c>
      <c r="G390" s="4">
        <v>4463000064</v>
      </c>
      <c r="H390" s="4">
        <v>58</v>
      </c>
      <c r="I390" s="4" t="s">
        <v>40</v>
      </c>
      <c r="J390" s="4" t="s">
        <v>41</v>
      </c>
    </row>
    <row r="391" spans="1:10" x14ac:dyDescent="0.25">
      <c r="A391" s="4" t="s">
        <v>928</v>
      </c>
      <c r="B391" s="4" t="s">
        <v>929</v>
      </c>
      <c r="C391" s="4" t="s">
        <v>497</v>
      </c>
      <c r="D391" s="4">
        <v>310.05</v>
      </c>
      <c r="E391" s="4">
        <v>57930809344</v>
      </c>
      <c r="F391" s="4">
        <v>32.84428</v>
      </c>
      <c r="G391" s="4">
        <v>3495086080</v>
      </c>
      <c r="I391" s="4" t="s">
        <v>40</v>
      </c>
      <c r="J391" s="4" t="s">
        <v>41</v>
      </c>
    </row>
    <row r="392" spans="1:10" x14ac:dyDescent="0.25">
      <c r="A392" s="4" t="s">
        <v>930</v>
      </c>
      <c r="B392" s="4" t="s">
        <v>931</v>
      </c>
      <c r="C392" s="4" t="s">
        <v>388</v>
      </c>
      <c r="D392" s="4">
        <v>119.71</v>
      </c>
      <c r="E392" s="4">
        <v>22803120128</v>
      </c>
      <c r="F392" s="4">
        <v>12.789531</v>
      </c>
      <c r="G392" s="4">
        <v>2608161024</v>
      </c>
      <c r="I392" s="4" t="s">
        <v>40</v>
      </c>
      <c r="J392" s="4" t="s">
        <v>41</v>
      </c>
    </row>
    <row r="393" spans="1:10" x14ac:dyDescent="0.25">
      <c r="A393" s="4" t="s">
        <v>932</v>
      </c>
      <c r="B393" s="4" t="s">
        <v>933</v>
      </c>
      <c r="C393" s="4" t="s">
        <v>59</v>
      </c>
      <c r="D393" s="4">
        <v>114.17</v>
      </c>
      <c r="E393" s="4">
        <v>10071849984</v>
      </c>
      <c r="F393" s="4">
        <v>26.48956</v>
      </c>
      <c r="G393" s="4">
        <v>885481024</v>
      </c>
      <c r="H393" s="4">
        <v>74</v>
      </c>
      <c r="I393" s="4" t="s">
        <v>40</v>
      </c>
      <c r="J393" s="4" t="s">
        <v>41</v>
      </c>
    </row>
    <row r="394" spans="1:10" x14ac:dyDescent="0.25">
      <c r="A394" s="4" t="s">
        <v>934</v>
      </c>
      <c r="B394" s="4" t="s">
        <v>935</v>
      </c>
      <c r="C394" s="4" t="s">
        <v>59</v>
      </c>
      <c r="D394" s="4">
        <v>182.97</v>
      </c>
      <c r="E394" s="4">
        <v>195382591488</v>
      </c>
      <c r="F394" s="4">
        <v>21.325174</v>
      </c>
      <c r="G394" s="4">
        <v>11998999552</v>
      </c>
      <c r="H394" s="4">
        <v>74</v>
      </c>
      <c r="I394" s="4" t="s">
        <v>40</v>
      </c>
      <c r="J394" s="4" t="s">
        <v>41</v>
      </c>
    </row>
    <row r="395" spans="1:10" x14ac:dyDescent="0.25">
      <c r="A395" s="4" t="s">
        <v>936</v>
      </c>
      <c r="B395" s="4" t="s">
        <v>937</v>
      </c>
      <c r="C395" s="4" t="s">
        <v>675</v>
      </c>
      <c r="D395" s="4">
        <v>606.89</v>
      </c>
      <c r="E395" s="4">
        <v>91241906176</v>
      </c>
      <c r="F395" s="4">
        <v>66.32678</v>
      </c>
      <c r="G395" s="4">
        <v>3045004032</v>
      </c>
      <c r="I395" s="4" t="s">
        <v>40</v>
      </c>
      <c r="J395" s="4" t="s">
        <v>41</v>
      </c>
    </row>
    <row r="396" spans="1:10" x14ac:dyDescent="0.25">
      <c r="A396" s="4" t="s">
        <v>938</v>
      </c>
      <c r="B396" s="4" t="s">
        <v>939</v>
      </c>
      <c r="C396" s="4" t="s">
        <v>319</v>
      </c>
      <c r="D396" s="4">
        <v>245.62</v>
      </c>
      <c r="E396" s="4">
        <v>27109904384</v>
      </c>
      <c r="F396" s="4">
        <v>26.074308</v>
      </c>
      <c r="G396" s="4">
        <v>2352000000</v>
      </c>
      <c r="H396" s="4">
        <v>30</v>
      </c>
      <c r="I396" s="4" t="s">
        <v>40</v>
      </c>
      <c r="J396" s="4" t="s">
        <v>41</v>
      </c>
    </row>
    <row r="397" spans="1:10" x14ac:dyDescent="0.25">
      <c r="A397" s="4" t="s">
        <v>940</v>
      </c>
      <c r="B397" s="4" t="s">
        <v>941</v>
      </c>
      <c r="C397" s="4" t="s">
        <v>741</v>
      </c>
      <c r="D397" s="4">
        <v>389.56</v>
      </c>
      <c r="E397" s="4">
        <v>23210856448</v>
      </c>
      <c r="F397" s="4">
        <v>24.546944</v>
      </c>
      <c r="G397" s="4">
        <v>1593200000</v>
      </c>
      <c r="I397" s="4" t="s">
        <v>40</v>
      </c>
      <c r="J397" s="4" t="s">
        <v>41</v>
      </c>
    </row>
    <row r="398" spans="1:10" x14ac:dyDescent="0.25">
      <c r="A398" s="4" t="s">
        <v>942</v>
      </c>
      <c r="B398" s="4" t="s">
        <v>943</v>
      </c>
      <c r="C398" s="4" t="s">
        <v>302</v>
      </c>
      <c r="D398" s="4">
        <v>157.42</v>
      </c>
      <c r="E398" s="4">
        <v>30281580544</v>
      </c>
      <c r="F398" s="4">
        <v>13.784588</v>
      </c>
      <c r="I398" s="4" t="s">
        <v>40</v>
      </c>
      <c r="J398" s="4" t="s">
        <v>41</v>
      </c>
    </row>
    <row r="399" spans="1:10" x14ac:dyDescent="0.25">
      <c r="A399" s="4" t="s">
        <v>944</v>
      </c>
      <c r="B399" s="4" t="s">
        <v>945</v>
      </c>
      <c r="C399" s="4" t="s">
        <v>511</v>
      </c>
      <c r="D399" s="4">
        <v>56.23</v>
      </c>
      <c r="E399" s="4">
        <v>53205839872</v>
      </c>
      <c r="F399" s="4">
        <v>40.746376</v>
      </c>
      <c r="G399" s="4">
        <v>5357639168</v>
      </c>
      <c r="I399" s="4" t="s">
        <v>40</v>
      </c>
      <c r="J399" s="4" t="s">
        <v>41</v>
      </c>
    </row>
    <row r="400" spans="1:10" x14ac:dyDescent="0.25">
      <c r="A400" s="4" t="s">
        <v>946</v>
      </c>
      <c r="B400" s="4" t="s">
        <v>947</v>
      </c>
      <c r="C400" s="4" t="s">
        <v>511</v>
      </c>
      <c r="D400" s="4">
        <v>73.19</v>
      </c>
      <c r="E400" s="4">
        <v>13683510272</v>
      </c>
      <c r="F400" s="4">
        <v>25.06507</v>
      </c>
      <c r="G400" s="4">
        <v>1071214976</v>
      </c>
      <c r="I400" s="4" t="s">
        <v>40</v>
      </c>
      <c r="J400" s="4" t="s">
        <v>41</v>
      </c>
    </row>
    <row r="401" spans="1:10" x14ac:dyDescent="0.25">
      <c r="A401" s="4" t="s">
        <v>948</v>
      </c>
      <c r="B401" s="4" t="s">
        <v>949</v>
      </c>
      <c r="C401" s="4" t="s">
        <v>50</v>
      </c>
      <c r="D401" s="4">
        <v>813.27</v>
      </c>
      <c r="E401" s="4">
        <v>83730210816</v>
      </c>
      <c r="F401" s="4">
        <v>20.180397</v>
      </c>
      <c r="G401" s="4">
        <v>4702400000</v>
      </c>
      <c r="H401" s="4">
        <v>55</v>
      </c>
      <c r="I401" s="4" t="s">
        <v>40</v>
      </c>
      <c r="J401" s="4" t="s">
        <v>41</v>
      </c>
    </row>
    <row r="402" spans="1:10" x14ac:dyDescent="0.25">
      <c r="A402" s="4" t="s">
        <v>950</v>
      </c>
      <c r="B402" s="4" t="s">
        <v>951</v>
      </c>
      <c r="C402" s="4" t="s">
        <v>330</v>
      </c>
      <c r="D402" s="4">
        <v>28.39</v>
      </c>
      <c r="E402" s="4">
        <v>24186279936</v>
      </c>
      <c r="F402" s="4">
        <v>11.177165</v>
      </c>
      <c r="I402" s="4" t="s">
        <v>40</v>
      </c>
      <c r="J402" s="4" t="s">
        <v>41</v>
      </c>
    </row>
    <row r="403" spans="1:10" x14ac:dyDescent="0.25">
      <c r="A403" s="4" t="s">
        <v>952</v>
      </c>
      <c r="B403" s="4" t="s">
        <v>953</v>
      </c>
      <c r="C403" s="4" t="s">
        <v>954</v>
      </c>
      <c r="D403" s="4">
        <v>233.4</v>
      </c>
      <c r="E403" s="4">
        <v>71470112768</v>
      </c>
      <c r="F403" s="4">
        <v>33.10638</v>
      </c>
      <c r="G403" s="4">
        <v>5256999936</v>
      </c>
      <c r="I403" s="4" t="s">
        <v>40</v>
      </c>
      <c r="J403" s="4" t="s">
        <v>41</v>
      </c>
    </row>
    <row r="404" spans="1:10" x14ac:dyDescent="0.25">
      <c r="A404" s="4" t="s">
        <v>955</v>
      </c>
      <c r="B404" s="4" t="s">
        <v>956</v>
      </c>
      <c r="C404" s="4" t="s">
        <v>47</v>
      </c>
      <c r="D404" s="4">
        <v>250.17</v>
      </c>
      <c r="E404" s="4">
        <v>35183718400</v>
      </c>
      <c r="F404" s="4">
        <v>24.054808</v>
      </c>
      <c r="G404" s="4">
        <v>2095774976</v>
      </c>
      <c r="H404" s="4">
        <v>59</v>
      </c>
      <c r="I404" s="4" t="s">
        <v>40</v>
      </c>
      <c r="J404" s="4" t="s">
        <v>41</v>
      </c>
    </row>
    <row r="405" spans="1:10" x14ac:dyDescent="0.25">
      <c r="A405" s="4" t="s">
        <v>957</v>
      </c>
      <c r="B405" s="4" t="s">
        <v>958</v>
      </c>
      <c r="C405" s="4" t="s">
        <v>47</v>
      </c>
      <c r="D405" s="4">
        <v>165.33</v>
      </c>
      <c r="E405" s="4">
        <v>18448580608</v>
      </c>
      <c r="F405" s="4">
        <v>77.61971</v>
      </c>
      <c r="G405" s="4">
        <v>875832000</v>
      </c>
      <c r="H405" s="4">
        <v>14</v>
      </c>
      <c r="I405" s="4" t="s">
        <v>40</v>
      </c>
      <c r="J405" s="4" t="s">
        <v>41</v>
      </c>
    </row>
    <row r="406" spans="1:10" x14ac:dyDescent="0.25">
      <c r="A406" s="4" t="s">
        <v>959</v>
      </c>
      <c r="B406" s="4" t="s">
        <v>960</v>
      </c>
      <c r="C406" s="4" t="s">
        <v>134</v>
      </c>
      <c r="D406" s="4">
        <v>443.81</v>
      </c>
      <c r="E406" s="4">
        <v>49284509696</v>
      </c>
      <c r="F406" s="4">
        <v>41.131603</v>
      </c>
      <c r="G406" s="4">
        <v>2092000000</v>
      </c>
      <c r="H406" s="4">
        <v>22</v>
      </c>
      <c r="I406" s="4" t="s">
        <v>40</v>
      </c>
      <c r="J406" s="4" t="s">
        <v>41</v>
      </c>
    </row>
    <row r="407" spans="1:10" x14ac:dyDescent="0.25">
      <c r="A407" s="4" t="s">
        <v>961</v>
      </c>
      <c r="B407" s="4" t="s">
        <v>962</v>
      </c>
      <c r="C407" s="4" t="s">
        <v>954</v>
      </c>
      <c r="D407" s="4">
        <v>33.5</v>
      </c>
      <c r="E407" s="4">
        <v>16118371328</v>
      </c>
      <c r="F407" s="4">
        <v>31.308409</v>
      </c>
      <c r="G407" s="4">
        <v>867017984</v>
      </c>
      <c r="I407" s="4" t="s">
        <v>40</v>
      </c>
      <c r="J407" s="4" t="s">
        <v>41</v>
      </c>
    </row>
    <row r="408" spans="1:10" x14ac:dyDescent="0.25">
      <c r="A408" s="4" t="s">
        <v>963</v>
      </c>
      <c r="B408" s="4" t="s">
        <v>964</v>
      </c>
      <c r="C408" s="4" t="s">
        <v>694</v>
      </c>
      <c r="D408" s="4">
        <v>440.66</v>
      </c>
      <c r="E408" s="4">
        <v>43581657088</v>
      </c>
      <c r="F408" s="4">
        <v>17.193134</v>
      </c>
      <c r="G408" s="4">
        <v>3292800000</v>
      </c>
      <c r="I408" s="4" t="s">
        <v>40</v>
      </c>
      <c r="J408" s="4" t="s">
        <v>41</v>
      </c>
    </row>
    <row r="409" spans="1:10" x14ac:dyDescent="0.25">
      <c r="A409" s="4" t="s">
        <v>965</v>
      </c>
      <c r="B409" s="4" t="s">
        <v>966</v>
      </c>
      <c r="C409" s="4" t="s">
        <v>967</v>
      </c>
      <c r="D409" s="4">
        <v>227.98</v>
      </c>
      <c r="E409" s="4">
        <v>72828919808</v>
      </c>
      <c r="F409" s="4">
        <v>27.836388</v>
      </c>
      <c r="G409" s="4">
        <v>3657101056</v>
      </c>
      <c r="I409" s="4" t="s">
        <v>40</v>
      </c>
      <c r="J409" s="4" t="s">
        <v>41</v>
      </c>
    </row>
    <row r="410" spans="1:10" x14ac:dyDescent="0.25">
      <c r="A410" s="4" t="s">
        <v>968</v>
      </c>
      <c r="B410" s="4" t="s">
        <v>969</v>
      </c>
      <c r="C410" s="4" t="s">
        <v>74</v>
      </c>
      <c r="D410" s="4">
        <v>298.3</v>
      </c>
      <c r="E410" s="4">
        <v>79786467328</v>
      </c>
      <c r="F410" s="4">
        <v>17.650887</v>
      </c>
      <c r="G410" s="4">
        <v>7152000000</v>
      </c>
      <c r="H410" s="4">
        <v>49</v>
      </c>
      <c r="I410" s="4" t="s">
        <v>40</v>
      </c>
      <c r="J410" s="4" t="s">
        <v>41</v>
      </c>
    </row>
    <row r="411" spans="1:10" x14ac:dyDescent="0.25">
      <c r="A411" s="4" t="s">
        <v>970</v>
      </c>
      <c r="B411" s="4" t="s">
        <v>971</v>
      </c>
      <c r="C411" s="4" t="s">
        <v>192</v>
      </c>
      <c r="D411" s="4">
        <v>195.84</v>
      </c>
      <c r="E411" s="4">
        <v>264274427904</v>
      </c>
      <c r="F411" s="4">
        <v>31.638124</v>
      </c>
      <c r="G411" s="4">
        <v>16960000000</v>
      </c>
      <c r="H411" s="4">
        <v>38</v>
      </c>
      <c r="I411" s="4" t="s">
        <v>40</v>
      </c>
      <c r="J411" s="4" t="s">
        <v>41</v>
      </c>
    </row>
    <row r="412" spans="1:10" x14ac:dyDescent="0.25">
      <c r="A412" s="4" t="s">
        <v>972</v>
      </c>
      <c r="B412" s="4" t="s">
        <v>973</v>
      </c>
      <c r="C412" s="4" t="s">
        <v>280</v>
      </c>
      <c r="D412" s="4">
        <v>449.33</v>
      </c>
      <c r="E412" s="4">
        <v>130260762624</v>
      </c>
      <c r="F412" s="4">
        <v>26.841696</v>
      </c>
      <c r="G412" s="4">
        <v>8480000000</v>
      </c>
      <c r="I412" s="4" t="s">
        <v>40</v>
      </c>
      <c r="J412" s="4" t="s">
        <v>41</v>
      </c>
    </row>
    <row r="413" spans="1:10" x14ac:dyDescent="0.25">
      <c r="A413" s="4" t="s">
        <v>974</v>
      </c>
      <c r="B413" s="4" t="s">
        <v>975</v>
      </c>
      <c r="C413" s="4" t="s">
        <v>56</v>
      </c>
      <c r="D413" s="4">
        <v>242.11</v>
      </c>
      <c r="E413" s="4">
        <v>199256522752</v>
      </c>
      <c r="F413" s="4">
        <v>22.15096</v>
      </c>
      <c r="G413" s="4">
        <v>12899000320</v>
      </c>
      <c r="H413" s="4">
        <v>49</v>
      </c>
      <c r="I413" s="4" t="s">
        <v>40</v>
      </c>
      <c r="J413" s="4" t="s">
        <v>41</v>
      </c>
    </row>
    <row r="414" spans="1:10" x14ac:dyDescent="0.25">
      <c r="A414" s="4" t="s">
        <v>976</v>
      </c>
      <c r="B414" s="4" t="s">
        <v>977</v>
      </c>
      <c r="C414" s="4" t="s">
        <v>125</v>
      </c>
      <c r="D414" s="4">
        <v>184.76</v>
      </c>
      <c r="E414" s="4">
        <v>19600838656</v>
      </c>
      <c r="F414" s="4">
        <v>19.866665</v>
      </c>
      <c r="G414" s="4">
        <v>1833553024</v>
      </c>
      <c r="I414" s="4" t="s">
        <v>40</v>
      </c>
      <c r="J414" s="4" t="s">
        <v>41</v>
      </c>
    </row>
    <row r="415" spans="1:10" x14ac:dyDescent="0.25">
      <c r="A415" s="4" t="s">
        <v>978</v>
      </c>
      <c r="B415" s="4" t="s">
        <v>979</v>
      </c>
      <c r="C415" s="4" t="s">
        <v>195</v>
      </c>
      <c r="D415" s="4">
        <v>53.75</v>
      </c>
      <c r="E415" s="4">
        <v>79334998016</v>
      </c>
      <c r="F415" s="4">
        <v>26.092234</v>
      </c>
      <c r="G415" s="4">
        <v>7240999936</v>
      </c>
      <c r="I415" s="4" t="s">
        <v>40</v>
      </c>
      <c r="J415" s="4" t="s">
        <v>41</v>
      </c>
    </row>
    <row r="416" spans="1:10" x14ac:dyDescent="0.25">
      <c r="A416" s="4" t="s">
        <v>980</v>
      </c>
      <c r="B416" s="4" t="s">
        <v>981</v>
      </c>
      <c r="C416" s="4" t="s">
        <v>152</v>
      </c>
      <c r="D416" s="4">
        <v>697.97</v>
      </c>
      <c r="E416" s="4">
        <v>158713495552</v>
      </c>
      <c r="F416" s="4">
        <v>50.21367</v>
      </c>
      <c r="G416" s="4">
        <v>4502000128</v>
      </c>
      <c r="H416" s="4">
        <v>6</v>
      </c>
      <c r="I416" s="4" t="s">
        <v>40</v>
      </c>
      <c r="J416" s="4" t="s">
        <v>41</v>
      </c>
    </row>
    <row r="417" spans="1:10" x14ac:dyDescent="0.25">
      <c r="A417" s="4" t="s">
        <v>982</v>
      </c>
      <c r="B417" s="4" t="s">
        <v>983</v>
      </c>
      <c r="C417" s="4" t="s">
        <v>114</v>
      </c>
      <c r="D417" s="4">
        <v>84.67</v>
      </c>
      <c r="E417" s="4">
        <v>55365742592</v>
      </c>
      <c r="F417" s="4">
        <v>24.471098</v>
      </c>
      <c r="G417" s="4">
        <v>5873999872</v>
      </c>
      <c r="H417" s="4">
        <v>13</v>
      </c>
      <c r="I417" s="4" t="s">
        <v>40</v>
      </c>
      <c r="J417" s="4" t="s">
        <v>41</v>
      </c>
    </row>
    <row r="418" spans="1:10" x14ac:dyDescent="0.25">
      <c r="A418" s="4" t="s">
        <v>984</v>
      </c>
      <c r="B418" s="4" t="s">
        <v>985</v>
      </c>
      <c r="C418" s="4" t="s">
        <v>376</v>
      </c>
      <c r="D418" s="4">
        <v>150.13</v>
      </c>
      <c r="E418" s="4">
        <v>155213709312</v>
      </c>
      <c r="F418" s="4">
        <v>93.83125</v>
      </c>
      <c r="G418" s="4">
        <v>2896999936</v>
      </c>
      <c r="H418" s="4">
        <v>42</v>
      </c>
      <c r="I418" s="4" t="s">
        <v>40</v>
      </c>
      <c r="J418" s="4" t="s">
        <v>41</v>
      </c>
    </row>
    <row r="419" spans="1:10" x14ac:dyDescent="0.25">
      <c r="A419" s="4" t="s">
        <v>986</v>
      </c>
      <c r="B419" s="4" t="s">
        <v>987</v>
      </c>
      <c r="C419" s="4" t="s">
        <v>80</v>
      </c>
      <c r="D419" s="4">
        <v>320.8</v>
      </c>
      <c r="E419" s="4">
        <v>77501448192</v>
      </c>
      <c r="F419" s="4">
        <v>29.981308</v>
      </c>
      <c r="G419" s="4">
        <v>4759499776</v>
      </c>
      <c r="H419" s="4">
        <v>47</v>
      </c>
      <c r="I419" s="4" t="s">
        <v>40</v>
      </c>
      <c r="J419" s="4" t="s">
        <v>41</v>
      </c>
    </row>
    <row r="420" spans="1:10" x14ac:dyDescent="0.25">
      <c r="A420" s="4" t="s">
        <v>988</v>
      </c>
      <c r="B420" s="4" t="s">
        <v>989</v>
      </c>
      <c r="C420" s="4" t="s">
        <v>511</v>
      </c>
      <c r="D420" s="4">
        <v>211.24</v>
      </c>
      <c r="E420" s="4">
        <v>80191668224</v>
      </c>
      <c r="F420" s="4">
        <v>14.981561</v>
      </c>
      <c r="G420" s="4">
        <v>5125174784</v>
      </c>
      <c r="I420" s="4" t="s">
        <v>40</v>
      </c>
      <c r="J420" s="4" t="s">
        <v>41</v>
      </c>
    </row>
    <row r="421" spans="1:10" x14ac:dyDescent="0.25">
      <c r="A421" s="4" t="s">
        <v>990</v>
      </c>
      <c r="B421" s="4" t="s">
        <v>991</v>
      </c>
      <c r="C421" s="4" t="s">
        <v>59</v>
      </c>
      <c r="D421" s="4">
        <v>87.23</v>
      </c>
      <c r="E421" s="4">
        <v>20513490944</v>
      </c>
      <c r="F421" s="4">
        <v>45.196896</v>
      </c>
      <c r="G421" s="4">
        <v>880200000</v>
      </c>
      <c r="H421" s="4">
        <v>45</v>
      </c>
      <c r="I421" s="4" t="s">
        <v>40</v>
      </c>
      <c r="J421" s="4" t="s">
        <v>41</v>
      </c>
    </row>
    <row r="422" spans="1:10" x14ac:dyDescent="0.25">
      <c r="A422" s="4" t="s">
        <v>992</v>
      </c>
      <c r="B422" s="4" t="s">
        <v>993</v>
      </c>
      <c r="C422" s="4" t="s">
        <v>108</v>
      </c>
      <c r="D422" s="4">
        <v>40.33</v>
      </c>
      <c r="E422" s="4">
        <v>21154009088</v>
      </c>
      <c r="F422" s="4">
        <v>42.452633</v>
      </c>
      <c r="G422" s="4">
        <v>4576000000</v>
      </c>
      <c r="I422" s="4" t="s">
        <v>40</v>
      </c>
      <c r="J422" s="4" t="s">
        <v>41</v>
      </c>
    </row>
    <row r="423" spans="1:10" x14ac:dyDescent="0.25">
      <c r="A423" s="4" t="s">
        <v>994</v>
      </c>
      <c r="B423" s="4" t="s">
        <v>995</v>
      </c>
      <c r="C423" s="4" t="s">
        <v>429</v>
      </c>
      <c r="D423" s="4">
        <v>355.62</v>
      </c>
      <c r="E423" s="4">
        <v>18395199488</v>
      </c>
      <c r="F423" s="4">
        <v>18.75633</v>
      </c>
      <c r="G423" s="4">
        <v>1409100032</v>
      </c>
      <c r="H423" s="4">
        <v>81</v>
      </c>
      <c r="I423" s="4" t="s">
        <v>40</v>
      </c>
      <c r="J423" s="4" t="s">
        <v>41</v>
      </c>
    </row>
    <row r="424" spans="1:10" x14ac:dyDescent="0.25">
      <c r="A424" s="4" t="s">
        <v>996</v>
      </c>
      <c r="B424" s="4" t="s">
        <v>997</v>
      </c>
      <c r="C424" s="4" t="s">
        <v>998</v>
      </c>
      <c r="D424" s="4">
        <v>81.85</v>
      </c>
      <c r="E424" s="4">
        <v>13932812288</v>
      </c>
      <c r="F424" s="4">
        <v>10.1550865</v>
      </c>
      <c r="G424" s="4">
        <v>1139000064</v>
      </c>
      <c r="I424" s="4" t="s">
        <v>40</v>
      </c>
      <c r="J424" s="4" t="s">
        <v>41</v>
      </c>
    </row>
    <row r="425" spans="1:10" x14ac:dyDescent="0.25">
      <c r="A425" s="4" t="s">
        <v>999</v>
      </c>
      <c r="B425" s="4" t="s">
        <v>1000</v>
      </c>
      <c r="C425" s="4" t="s">
        <v>91</v>
      </c>
      <c r="D425" s="4">
        <v>91.52</v>
      </c>
      <c r="E425" s="4">
        <v>105281216512</v>
      </c>
      <c r="F425" s="4">
        <v>22.05301</v>
      </c>
      <c r="G425" s="4">
        <v>14257999872</v>
      </c>
      <c r="H425" s="4">
        <v>39</v>
      </c>
      <c r="I425" s="4" t="s">
        <v>40</v>
      </c>
      <c r="J425" s="4" t="s">
        <v>41</v>
      </c>
    </row>
    <row r="426" spans="1:10" x14ac:dyDescent="0.25">
      <c r="A426" s="4" t="s">
        <v>1001</v>
      </c>
      <c r="B426" s="4" t="s">
        <v>1002</v>
      </c>
      <c r="C426" s="4" t="s">
        <v>407</v>
      </c>
      <c r="D426" s="4">
        <v>43.47</v>
      </c>
      <c r="E426" s="4">
        <v>21265881088</v>
      </c>
      <c r="F426" s="4">
        <v>21.20488</v>
      </c>
      <c r="G426" s="4">
        <v>2684999936</v>
      </c>
      <c r="I426" s="4" t="s">
        <v>40</v>
      </c>
      <c r="J426" s="4" t="s">
        <v>41</v>
      </c>
    </row>
    <row r="427" spans="1:10" x14ac:dyDescent="0.25">
      <c r="A427" s="4" t="s">
        <v>1003</v>
      </c>
      <c r="B427" s="4" t="s">
        <v>1004</v>
      </c>
      <c r="C427" s="4" t="s">
        <v>429</v>
      </c>
      <c r="D427" s="4">
        <v>100.37</v>
      </c>
      <c r="E427" s="4">
        <v>15157540864</v>
      </c>
      <c r="F427" s="4">
        <v>24.302664</v>
      </c>
      <c r="G427" s="4">
        <v>1791000064</v>
      </c>
      <c r="H427" s="4">
        <v>79</v>
      </c>
      <c r="I427" s="4" t="s">
        <v>40</v>
      </c>
      <c r="J427" s="4" t="s">
        <v>41</v>
      </c>
    </row>
    <row r="428" spans="1:10" x14ac:dyDescent="0.25">
      <c r="A428" s="4" t="s">
        <v>1005</v>
      </c>
      <c r="B428" s="4" t="s">
        <v>1006</v>
      </c>
      <c r="C428" s="4" t="s">
        <v>311</v>
      </c>
      <c r="D428" s="4">
        <v>103.2</v>
      </c>
      <c r="E428" s="4">
        <v>117647998976</v>
      </c>
      <c r="F428" s="4">
        <v>59.653175</v>
      </c>
      <c r="G428" s="4">
        <v>5642299904</v>
      </c>
      <c r="H428" s="4">
        <v>8</v>
      </c>
      <c r="I428" s="4" t="s">
        <v>40</v>
      </c>
      <c r="J428" s="4" t="s">
        <v>41</v>
      </c>
    </row>
    <row r="429" spans="1:10" x14ac:dyDescent="0.25">
      <c r="A429" s="4" t="s">
        <v>1007</v>
      </c>
      <c r="B429" s="4" t="s">
        <v>1008</v>
      </c>
      <c r="C429" s="4" t="s">
        <v>131</v>
      </c>
      <c r="D429" s="4">
        <v>173.54</v>
      </c>
      <c r="E429" s="4">
        <v>47346614272</v>
      </c>
      <c r="F429" s="4">
        <v>13.961383</v>
      </c>
      <c r="I429" s="4" t="s">
        <v>40</v>
      </c>
      <c r="J429" s="4" t="s">
        <v>41</v>
      </c>
    </row>
    <row r="430" spans="1:10" x14ac:dyDescent="0.25">
      <c r="A430" s="4" t="s">
        <v>1009</v>
      </c>
      <c r="B430" s="4" t="s">
        <v>1010</v>
      </c>
      <c r="C430" s="4" t="s">
        <v>851</v>
      </c>
      <c r="D430" s="4">
        <v>249.99</v>
      </c>
      <c r="E430" s="4">
        <v>35552952320</v>
      </c>
      <c r="F430" s="4">
        <v>18.234137</v>
      </c>
      <c r="G430" s="4">
        <v>3209409024</v>
      </c>
      <c r="I430" s="4" t="s">
        <v>40</v>
      </c>
      <c r="J430" s="4" t="s">
        <v>41</v>
      </c>
    </row>
    <row r="431" spans="1:10" x14ac:dyDescent="0.25">
      <c r="A431" s="4" t="s">
        <v>1011</v>
      </c>
      <c r="B431" s="4" t="s">
        <v>1012</v>
      </c>
      <c r="C431" s="4" t="s">
        <v>47</v>
      </c>
      <c r="D431" s="4">
        <v>228.78</v>
      </c>
      <c r="E431" s="4">
        <v>22306074624</v>
      </c>
      <c r="F431" s="4">
        <v>27.934067</v>
      </c>
      <c r="G431" s="4">
        <v>1640499968</v>
      </c>
      <c r="H431" s="4">
        <v>59</v>
      </c>
      <c r="I431" s="4" t="s">
        <v>40</v>
      </c>
      <c r="J431" s="4" t="s">
        <v>41</v>
      </c>
    </row>
    <row r="432" spans="1:10" x14ac:dyDescent="0.25">
      <c r="A432" s="4" t="s">
        <v>1013</v>
      </c>
      <c r="B432" s="4" t="s">
        <v>1014</v>
      </c>
      <c r="C432" s="4" t="s">
        <v>47</v>
      </c>
      <c r="D432" s="4">
        <v>304</v>
      </c>
      <c r="E432" s="4">
        <v>116606205952</v>
      </c>
      <c r="F432" s="4">
        <v>31.502592</v>
      </c>
      <c r="G432" s="4">
        <v>7376000000</v>
      </c>
      <c r="H432" s="4">
        <v>46</v>
      </c>
      <c r="I432" s="4" t="s">
        <v>40</v>
      </c>
      <c r="J432" s="4" t="s">
        <v>41</v>
      </c>
    </row>
    <row r="433" spans="1:10" x14ac:dyDescent="0.25">
      <c r="A433" s="4" t="s">
        <v>1015</v>
      </c>
      <c r="B433" s="4" t="s">
        <v>1016</v>
      </c>
      <c r="C433" s="4" t="s">
        <v>152</v>
      </c>
      <c r="D433" s="4">
        <v>35.81</v>
      </c>
      <c r="E433" s="4">
        <v>23164524544</v>
      </c>
      <c r="F433" s="4">
        <v>10.984663</v>
      </c>
      <c r="G433" s="4">
        <v>2824158976</v>
      </c>
      <c r="H433" s="4">
        <v>89</v>
      </c>
      <c r="I433" s="4" t="s">
        <v>40</v>
      </c>
      <c r="J433" s="4" t="s">
        <v>41</v>
      </c>
    </row>
    <row r="434" spans="1:10" x14ac:dyDescent="0.25">
      <c r="A434" s="4" t="s">
        <v>1017</v>
      </c>
      <c r="B434" s="4" t="s">
        <v>1018</v>
      </c>
      <c r="C434" s="4" t="s">
        <v>119</v>
      </c>
      <c r="D434" s="4">
        <v>75.36</v>
      </c>
      <c r="E434" s="4">
        <v>24519948288</v>
      </c>
      <c r="F434" s="4">
        <v>7.8255453</v>
      </c>
      <c r="I434" s="4" t="s">
        <v>40</v>
      </c>
      <c r="J434" s="4" t="s">
        <v>41</v>
      </c>
    </row>
    <row r="435" spans="1:10" x14ac:dyDescent="0.25">
      <c r="A435" s="4" t="s">
        <v>1019</v>
      </c>
      <c r="B435" s="4" t="s">
        <v>1020</v>
      </c>
      <c r="C435" s="4" t="s">
        <v>56</v>
      </c>
      <c r="D435" s="4">
        <v>481.89</v>
      </c>
      <c r="E435" s="4">
        <v>92347785216</v>
      </c>
      <c r="F435" s="4">
        <v>83.80696</v>
      </c>
      <c r="G435" s="4">
        <v>2075485952</v>
      </c>
      <c r="H435" s="4">
        <v>5</v>
      </c>
      <c r="I435" s="4" t="s">
        <v>40</v>
      </c>
      <c r="J435" s="4" t="s">
        <v>41</v>
      </c>
    </row>
    <row r="436" spans="1:10" x14ac:dyDescent="0.25">
      <c r="A436" s="4" t="s">
        <v>1021</v>
      </c>
      <c r="B436" s="4" t="s">
        <v>1022</v>
      </c>
      <c r="C436" s="4" t="s">
        <v>1023</v>
      </c>
      <c r="D436" s="4">
        <v>82.15</v>
      </c>
      <c r="E436" s="4">
        <v>40410730496</v>
      </c>
      <c r="F436" s="4">
        <v>22.445354</v>
      </c>
      <c r="G436" s="4">
        <v>4493000192</v>
      </c>
      <c r="I436" s="4" t="s">
        <v>40</v>
      </c>
      <c r="J436" s="4" t="s">
        <v>41</v>
      </c>
    </row>
    <row r="437" spans="1:10" x14ac:dyDescent="0.25">
      <c r="A437" s="4" t="s">
        <v>1024</v>
      </c>
      <c r="B437" s="4" t="s">
        <v>1025</v>
      </c>
      <c r="C437" s="4" t="s">
        <v>1026</v>
      </c>
      <c r="D437" s="4">
        <v>148.08</v>
      </c>
      <c r="E437" s="4">
        <v>158841208832</v>
      </c>
      <c r="F437" s="4">
        <v>15.345078</v>
      </c>
      <c r="G437" s="4">
        <v>34370998272</v>
      </c>
      <c r="I437" s="4" t="s">
        <v>40</v>
      </c>
      <c r="J437" s="4" t="s">
        <v>41</v>
      </c>
    </row>
    <row r="438" spans="1:10" x14ac:dyDescent="0.25">
      <c r="A438" s="4" t="s">
        <v>1027</v>
      </c>
      <c r="B438" s="4" t="s">
        <v>1028</v>
      </c>
      <c r="C438" s="4" t="s">
        <v>131</v>
      </c>
      <c r="D438" s="4">
        <v>104</v>
      </c>
      <c r="E438" s="4">
        <v>22184849408</v>
      </c>
      <c r="F438" s="4">
        <v>10.4</v>
      </c>
      <c r="G438" s="4">
        <v>2963800064</v>
      </c>
      <c r="I438" s="4" t="s">
        <v>40</v>
      </c>
      <c r="J438" s="4" t="s">
        <v>41</v>
      </c>
    </row>
    <row r="439" spans="1:10" x14ac:dyDescent="0.25">
      <c r="A439" s="4" t="s">
        <v>1029</v>
      </c>
      <c r="B439" s="4" t="s">
        <v>1030</v>
      </c>
      <c r="C439" s="4" t="s">
        <v>453</v>
      </c>
      <c r="D439" s="4">
        <v>195.29</v>
      </c>
      <c r="E439" s="4">
        <v>36515409920</v>
      </c>
      <c r="G439" s="4">
        <v>766499968</v>
      </c>
      <c r="I439" s="4" t="s">
        <v>40</v>
      </c>
      <c r="J439" s="4" t="s">
        <v>41</v>
      </c>
    </row>
    <row r="440" spans="1:10" x14ac:dyDescent="0.25">
      <c r="A440" s="4" t="s">
        <v>1031</v>
      </c>
      <c r="B440" s="4" t="s">
        <v>1032</v>
      </c>
      <c r="C440" s="4" t="s">
        <v>741</v>
      </c>
      <c r="D440" s="4">
        <v>111.24</v>
      </c>
      <c r="E440" s="4">
        <v>22073948160</v>
      </c>
      <c r="F440" s="4">
        <v>15.322313</v>
      </c>
      <c r="G440" s="4">
        <v>2023500032</v>
      </c>
      <c r="I440" s="4" t="s">
        <v>40</v>
      </c>
      <c r="J440" s="4" t="s">
        <v>41</v>
      </c>
    </row>
    <row r="441" spans="1:10" x14ac:dyDescent="0.25">
      <c r="A441" s="4" t="s">
        <v>1033</v>
      </c>
      <c r="B441" s="4" t="s">
        <v>1034</v>
      </c>
      <c r="C441" s="4" t="s">
        <v>701</v>
      </c>
      <c r="D441" s="4">
        <v>305.9</v>
      </c>
      <c r="E441" s="4">
        <v>65594449920</v>
      </c>
      <c r="F441" s="4">
        <v>29.244741</v>
      </c>
      <c r="G441" s="4">
        <v>5497699840</v>
      </c>
      <c r="I441" s="4" t="s">
        <v>40</v>
      </c>
      <c r="J441" s="4" t="s">
        <v>41</v>
      </c>
    </row>
    <row r="442" spans="1:10" x14ac:dyDescent="0.25">
      <c r="A442" s="4" t="s">
        <v>1035</v>
      </c>
      <c r="B442" s="4" t="s">
        <v>1036</v>
      </c>
      <c r="C442" s="4" t="s">
        <v>371</v>
      </c>
      <c r="D442" s="4">
        <v>148.96</v>
      </c>
      <c r="E442" s="4">
        <v>67671257088</v>
      </c>
      <c r="F442" s="4">
        <v>15.37255</v>
      </c>
      <c r="G442" s="4">
        <v>8593000448</v>
      </c>
      <c r="H442" s="4">
        <v>70</v>
      </c>
      <c r="I442" s="4" t="s">
        <v>40</v>
      </c>
      <c r="J442" s="4" t="s">
        <v>41</v>
      </c>
    </row>
    <row r="443" spans="1:10" x14ac:dyDescent="0.25">
      <c r="A443" s="4" t="s">
        <v>1037</v>
      </c>
      <c r="B443" s="4" t="s">
        <v>1038</v>
      </c>
      <c r="C443" s="4" t="s">
        <v>670</v>
      </c>
      <c r="D443" s="4">
        <v>221.24</v>
      </c>
      <c r="E443" s="4">
        <v>64146477056</v>
      </c>
      <c r="F443" s="4">
        <v>21.668953</v>
      </c>
      <c r="G443" s="4">
        <v>4951000064</v>
      </c>
      <c r="I443" s="4" t="s">
        <v>40</v>
      </c>
      <c r="J443" s="4" t="s">
        <v>41</v>
      </c>
    </row>
    <row r="444" spans="1:10" x14ac:dyDescent="0.25">
      <c r="A444" s="4" t="s">
        <v>1039</v>
      </c>
      <c r="B444" s="4" t="s">
        <v>1040</v>
      </c>
      <c r="C444" s="4" t="s">
        <v>694</v>
      </c>
      <c r="D444" s="4">
        <v>665.56</v>
      </c>
      <c r="E444" s="4">
        <v>30834819072</v>
      </c>
      <c r="F444" s="4">
        <v>29.99369</v>
      </c>
      <c r="G444" s="4">
        <v>1656899968</v>
      </c>
      <c r="I444" s="4" t="s">
        <v>40</v>
      </c>
      <c r="J444" s="4" t="s">
        <v>41</v>
      </c>
    </row>
    <row r="445" spans="1:10" x14ac:dyDescent="0.25">
      <c r="A445" s="4" t="s">
        <v>1041</v>
      </c>
      <c r="B445" s="4" t="s">
        <v>1042</v>
      </c>
      <c r="C445" s="4" t="s">
        <v>47</v>
      </c>
      <c r="D445" s="4">
        <v>138.98</v>
      </c>
      <c r="E445" s="4">
        <v>5888915456</v>
      </c>
      <c r="G445" s="4">
        <v>403903008</v>
      </c>
      <c r="I445" s="4" t="s">
        <v>40</v>
      </c>
      <c r="J445" s="4" t="s">
        <v>41</v>
      </c>
    </row>
    <row r="446" spans="1:10" x14ac:dyDescent="0.25">
      <c r="A446" s="4" t="s">
        <v>1043</v>
      </c>
      <c r="B446" s="4" t="s">
        <v>1044</v>
      </c>
      <c r="C446" s="4" t="s">
        <v>155</v>
      </c>
      <c r="D446" s="4">
        <v>313.24</v>
      </c>
      <c r="E446" s="4">
        <v>48972177408</v>
      </c>
      <c r="F446" s="4">
        <v>43.02747</v>
      </c>
      <c r="G446" s="4">
        <v>1504893952</v>
      </c>
      <c r="H446" s="4">
        <v>18</v>
      </c>
      <c r="I446" s="4" t="s">
        <v>40</v>
      </c>
      <c r="J446" s="4" t="s">
        <v>41</v>
      </c>
    </row>
    <row r="447" spans="1:10" x14ac:dyDescent="0.25">
      <c r="A447" s="4" t="s">
        <v>1045</v>
      </c>
      <c r="B447" s="4" t="s">
        <v>1046</v>
      </c>
      <c r="C447" s="4" t="s">
        <v>528</v>
      </c>
      <c r="D447" s="4">
        <v>404.22</v>
      </c>
      <c r="E447" s="4">
        <v>1597772529664</v>
      </c>
      <c r="F447" s="4">
        <v>449.13336</v>
      </c>
      <c r="G447" s="4">
        <v>9838000128</v>
      </c>
      <c r="I447" s="4" t="s">
        <v>40</v>
      </c>
      <c r="J447" s="4" t="s">
        <v>41</v>
      </c>
    </row>
    <row r="448" spans="1:10" x14ac:dyDescent="0.25">
      <c r="A448" s="4" t="s">
        <v>1047</v>
      </c>
      <c r="B448" s="4" t="s">
        <v>1048</v>
      </c>
      <c r="C448" s="4" t="s">
        <v>59</v>
      </c>
      <c r="D448" s="4">
        <v>309.83</v>
      </c>
      <c r="E448" s="4">
        <v>283261337600</v>
      </c>
      <c r="F448" s="4">
        <v>40.081497</v>
      </c>
      <c r="G448" s="4">
        <v>10712999936</v>
      </c>
      <c r="H448" s="4">
        <v>48</v>
      </c>
      <c r="I448" s="4" t="s">
        <v>40</v>
      </c>
      <c r="J448" s="4" t="s">
        <v>41</v>
      </c>
    </row>
    <row r="449" spans="1:10" x14ac:dyDescent="0.25">
      <c r="A449" s="4" t="s">
        <v>1049</v>
      </c>
      <c r="B449" s="4" t="s">
        <v>1050</v>
      </c>
      <c r="C449" s="4" t="s">
        <v>192</v>
      </c>
      <c r="D449" s="4">
        <v>78.32</v>
      </c>
      <c r="E449" s="4">
        <v>13618984960</v>
      </c>
      <c r="F449" s="4">
        <v>14.721804</v>
      </c>
      <c r="G449" s="4">
        <v>1680000000</v>
      </c>
      <c r="H449" s="4">
        <v>96</v>
      </c>
      <c r="I449" s="4" t="s">
        <v>40</v>
      </c>
      <c r="J449" s="4" t="s">
        <v>41</v>
      </c>
    </row>
    <row r="450" spans="1:10" x14ac:dyDescent="0.25">
      <c r="A450" s="4" t="s">
        <v>1051</v>
      </c>
      <c r="B450" s="4" t="s">
        <v>1052</v>
      </c>
      <c r="C450" s="4" t="s">
        <v>68</v>
      </c>
      <c r="D450" s="4">
        <v>704.15</v>
      </c>
      <c r="E450" s="4">
        <v>260357570560</v>
      </c>
      <c r="F450" s="4">
        <v>37.138718</v>
      </c>
      <c r="G450" s="4">
        <v>12197000192</v>
      </c>
      <c r="H450" s="4">
        <v>64</v>
      </c>
      <c r="I450" s="4" t="s">
        <v>40</v>
      </c>
      <c r="J450" s="4" t="s">
        <v>41</v>
      </c>
    </row>
    <row r="451" spans="1:10" x14ac:dyDescent="0.25">
      <c r="A451" s="4" t="s">
        <v>1053</v>
      </c>
      <c r="B451" s="4" t="s">
        <v>1054</v>
      </c>
      <c r="C451" s="4" t="s">
        <v>967</v>
      </c>
      <c r="D451" s="4">
        <v>138.39</v>
      </c>
      <c r="E451" s="4">
        <v>152880037888</v>
      </c>
      <c r="F451" s="4">
        <v>25.964354</v>
      </c>
      <c r="G451" s="4">
        <v>8903000064</v>
      </c>
      <c r="I451" s="4" t="s">
        <v>40</v>
      </c>
      <c r="J451" s="4" t="s">
        <v>41</v>
      </c>
    </row>
    <row r="452" spans="1:10" x14ac:dyDescent="0.25">
      <c r="A452" s="4" t="s">
        <v>1055</v>
      </c>
      <c r="B452" s="4" t="s">
        <v>1056</v>
      </c>
      <c r="C452" s="4" t="s">
        <v>1057</v>
      </c>
      <c r="D452" s="4">
        <v>31.61</v>
      </c>
      <c r="E452" s="4">
        <v>16470078464</v>
      </c>
      <c r="F452" s="4">
        <v>17.368132</v>
      </c>
      <c r="G452" s="4">
        <v>1886893056</v>
      </c>
      <c r="I452" s="4" t="s">
        <v>40</v>
      </c>
      <c r="J452" s="4" t="s">
        <v>41</v>
      </c>
    </row>
    <row r="453" spans="1:10" x14ac:dyDescent="0.25">
      <c r="A453" s="4" t="s">
        <v>1058</v>
      </c>
      <c r="B453" s="4" t="s">
        <v>1059</v>
      </c>
      <c r="C453" s="4" t="s">
        <v>44</v>
      </c>
      <c r="D453" s="4">
        <v>448.47</v>
      </c>
      <c r="E453" s="4">
        <v>98673795072</v>
      </c>
      <c r="F453" s="4">
        <v>33.418034</v>
      </c>
      <c r="G453" s="4">
        <v>4308400128</v>
      </c>
      <c r="H453" s="4">
        <v>24</v>
      </c>
      <c r="I453" s="4" t="s">
        <v>40</v>
      </c>
      <c r="J453" s="4" t="s">
        <v>41</v>
      </c>
    </row>
    <row r="454" spans="1:10" x14ac:dyDescent="0.25">
      <c r="A454" s="4" t="s">
        <v>1060</v>
      </c>
      <c r="B454" s="4" t="s">
        <v>1061</v>
      </c>
      <c r="C454" s="4" t="s">
        <v>192</v>
      </c>
      <c r="D454" s="4">
        <v>1136.53</v>
      </c>
      <c r="E454" s="4">
        <v>63570198528</v>
      </c>
      <c r="F454" s="4">
        <v>34.284462</v>
      </c>
      <c r="G454" s="4">
        <v>5095000064</v>
      </c>
      <c r="H454" s="4">
        <v>38</v>
      </c>
      <c r="I454" s="4" t="s">
        <v>40</v>
      </c>
      <c r="J454" s="4" t="s">
        <v>41</v>
      </c>
    </row>
    <row r="455" spans="1:10" x14ac:dyDescent="0.25">
      <c r="A455" s="4" t="s">
        <v>1062</v>
      </c>
      <c r="B455" s="4" t="s">
        <v>1063</v>
      </c>
      <c r="C455" s="4" t="s">
        <v>94</v>
      </c>
      <c r="D455" s="4">
        <v>394.01</v>
      </c>
      <c r="E455" s="4">
        <v>80732651520</v>
      </c>
      <c r="F455" s="4">
        <v>10.360505</v>
      </c>
      <c r="G455" s="4">
        <v>11520000000</v>
      </c>
      <c r="I455" s="4" t="s">
        <v>40</v>
      </c>
      <c r="J455" s="4" t="s">
        <v>41</v>
      </c>
    </row>
    <row r="456" spans="1:10" x14ac:dyDescent="0.25">
      <c r="A456" s="4" t="s">
        <v>1064</v>
      </c>
      <c r="B456" s="4" t="s">
        <v>1065</v>
      </c>
      <c r="C456" s="4" t="s">
        <v>694</v>
      </c>
      <c r="D456" s="4">
        <v>64.35</v>
      </c>
      <c r="E456" s="4">
        <v>15005122560</v>
      </c>
      <c r="G456" s="4">
        <v>880099968</v>
      </c>
      <c r="I456" s="4" t="s">
        <v>40</v>
      </c>
      <c r="J456" s="4" t="s">
        <v>41</v>
      </c>
    </row>
    <row r="457" spans="1:10" x14ac:dyDescent="0.25">
      <c r="A457" s="4" t="s">
        <v>1066</v>
      </c>
      <c r="B457" s="4" t="s">
        <v>1067</v>
      </c>
      <c r="C457" s="4" t="s">
        <v>201</v>
      </c>
      <c r="D457" s="4">
        <v>48.42</v>
      </c>
      <c r="E457" s="4">
        <v>59151138816</v>
      </c>
      <c r="F457" s="4">
        <v>12.511628</v>
      </c>
      <c r="I457" s="4" t="s">
        <v>40</v>
      </c>
      <c r="J457" s="4" t="s">
        <v>41</v>
      </c>
    </row>
    <row r="458" spans="1:10" x14ac:dyDescent="0.25">
      <c r="A458" s="4" t="s">
        <v>1068</v>
      </c>
      <c r="B458" s="4" t="s">
        <v>1069</v>
      </c>
      <c r="C458" s="4" t="s">
        <v>56</v>
      </c>
      <c r="D458" s="4">
        <v>360.9</v>
      </c>
      <c r="E458" s="4">
        <v>14779674624</v>
      </c>
      <c r="F458" s="4">
        <v>49.84807</v>
      </c>
      <c r="G458" s="4">
        <v>458521984</v>
      </c>
      <c r="H458" s="4">
        <v>25</v>
      </c>
      <c r="I458" s="4" t="s">
        <v>40</v>
      </c>
      <c r="J458" s="4" t="s">
        <v>41</v>
      </c>
    </row>
    <row r="459" spans="1:10" x14ac:dyDescent="0.25">
      <c r="A459" s="4" t="s">
        <v>1070</v>
      </c>
      <c r="B459" s="4" t="s">
        <v>1071</v>
      </c>
      <c r="C459" s="4" t="s">
        <v>261</v>
      </c>
      <c r="D459" s="4">
        <v>55.36</v>
      </c>
      <c r="E459" s="4">
        <v>19475732480</v>
      </c>
      <c r="F459" s="4">
        <v>34.385094</v>
      </c>
      <c r="G459" s="4">
        <v>2772000000</v>
      </c>
      <c r="H459" s="4">
        <v>34</v>
      </c>
      <c r="I459" s="4" t="s">
        <v>40</v>
      </c>
      <c r="J459" s="4" t="s">
        <v>41</v>
      </c>
    </row>
    <row r="460" spans="1:10" x14ac:dyDescent="0.25">
      <c r="A460" s="4" t="s">
        <v>1072</v>
      </c>
      <c r="B460" s="4" t="s">
        <v>1073</v>
      </c>
      <c r="C460" s="4" t="s">
        <v>201</v>
      </c>
      <c r="D460" s="4">
        <v>59.6</v>
      </c>
      <c r="E460" s="4">
        <v>92859867136</v>
      </c>
      <c r="F460" s="4">
        <v>11.617933</v>
      </c>
      <c r="I460" s="4" t="s">
        <v>40</v>
      </c>
      <c r="J460" s="4" t="s">
        <v>41</v>
      </c>
    </row>
    <row r="461" spans="1:10" x14ac:dyDescent="0.25">
      <c r="A461" s="4" t="s">
        <v>1074</v>
      </c>
      <c r="B461" s="4" t="s">
        <v>1075</v>
      </c>
      <c r="C461" s="4" t="s">
        <v>1076</v>
      </c>
      <c r="D461" s="4">
        <v>65.27</v>
      </c>
      <c r="E461" s="4">
        <v>133317894144</v>
      </c>
      <c r="F461" s="4">
        <v>14.313596</v>
      </c>
      <c r="G461" s="4">
        <v>7473999872</v>
      </c>
      <c r="I461" s="4" t="s">
        <v>40</v>
      </c>
      <c r="J461" s="4" t="s">
        <v>41</v>
      </c>
    </row>
    <row r="462" spans="1:10" x14ac:dyDescent="0.25">
      <c r="A462" s="4" t="s">
        <v>1077</v>
      </c>
      <c r="B462" s="4" t="s">
        <v>1078</v>
      </c>
      <c r="C462" s="4" t="s">
        <v>187</v>
      </c>
      <c r="D462" s="4">
        <v>34.71</v>
      </c>
      <c r="E462" s="4">
        <v>12860598272</v>
      </c>
      <c r="F462" s="4">
        <v>22.538961</v>
      </c>
      <c r="G462" s="4">
        <v>1040777024</v>
      </c>
      <c r="I462" s="4" t="s">
        <v>40</v>
      </c>
      <c r="J462" s="4" t="s">
        <v>41</v>
      </c>
    </row>
    <row r="463" spans="1:10" x14ac:dyDescent="0.25">
      <c r="A463" s="4" t="s">
        <v>1079</v>
      </c>
      <c r="B463" s="4" t="s">
        <v>1080</v>
      </c>
      <c r="C463" s="4" t="s">
        <v>1057</v>
      </c>
      <c r="D463" s="4">
        <v>619.24</v>
      </c>
      <c r="E463" s="4">
        <v>26477135872</v>
      </c>
      <c r="F463" s="4">
        <v>22.567055</v>
      </c>
      <c r="G463" s="4">
        <v>1934352000</v>
      </c>
      <c r="I463" s="4" t="s">
        <v>40</v>
      </c>
      <c r="J463" s="4" t="s">
        <v>41</v>
      </c>
    </row>
    <row r="464" spans="1:10" x14ac:dyDescent="0.25">
      <c r="A464" s="4" t="s">
        <v>1081</v>
      </c>
      <c r="B464" s="4" t="s">
        <v>1082</v>
      </c>
      <c r="C464" s="4" t="s">
        <v>381</v>
      </c>
      <c r="D464" s="4">
        <v>297.8</v>
      </c>
      <c r="E464" s="4">
        <v>176915677184</v>
      </c>
      <c r="F464" s="4">
        <v>23.393559</v>
      </c>
      <c r="G464" s="4">
        <v>13281000448</v>
      </c>
      <c r="I464" s="4" t="s">
        <v>40</v>
      </c>
      <c r="J464" s="4" t="s">
        <v>41</v>
      </c>
    </row>
    <row r="465" spans="1:10" x14ac:dyDescent="0.25">
      <c r="A465" s="4" t="s">
        <v>1083</v>
      </c>
      <c r="B465" s="4" t="s">
        <v>1084</v>
      </c>
      <c r="C465" s="4" t="s">
        <v>407</v>
      </c>
      <c r="D465" s="4">
        <v>103.43</v>
      </c>
      <c r="E465" s="4">
        <v>33603823616</v>
      </c>
      <c r="F465" s="4">
        <v>9.585728</v>
      </c>
      <c r="G465" s="4">
        <v>7041999872</v>
      </c>
      <c r="I465" s="4" t="s">
        <v>40</v>
      </c>
      <c r="J465" s="4" t="s">
        <v>41</v>
      </c>
    </row>
    <row r="466" spans="1:10" x14ac:dyDescent="0.25">
      <c r="A466" s="4" t="s">
        <v>1085</v>
      </c>
      <c r="B466" s="4" t="s">
        <v>1086</v>
      </c>
      <c r="C466" s="4" t="s">
        <v>251</v>
      </c>
      <c r="D466" s="4">
        <v>105.62</v>
      </c>
      <c r="E466" s="4">
        <v>89859555328</v>
      </c>
      <c r="F466" s="4">
        <v>19.705223</v>
      </c>
      <c r="G466" s="4">
        <v>11153000448</v>
      </c>
      <c r="I466" s="4" t="s">
        <v>40</v>
      </c>
      <c r="J466" s="4" t="s">
        <v>41</v>
      </c>
    </row>
    <row r="467" spans="1:10" x14ac:dyDescent="0.25">
      <c r="A467" s="4" t="s">
        <v>1087</v>
      </c>
      <c r="B467" s="4" t="s">
        <v>1088</v>
      </c>
      <c r="C467" s="4" t="s">
        <v>508</v>
      </c>
      <c r="D467" s="4">
        <v>1174.61</v>
      </c>
      <c r="E467" s="4">
        <v>73110650880</v>
      </c>
      <c r="F467" s="4">
        <v>28.242605</v>
      </c>
      <c r="G467" s="4">
        <v>5040999936</v>
      </c>
      <c r="I467" s="4" t="s">
        <v>40</v>
      </c>
      <c r="J467" s="4" t="s">
        <v>41</v>
      </c>
    </row>
    <row r="468" spans="1:10" x14ac:dyDescent="0.25">
      <c r="A468" s="4" t="s">
        <v>1089</v>
      </c>
      <c r="B468" s="4" t="s">
        <v>1090</v>
      </c>
      <c r="C468" s="4" t="s">
        <v>292</v>
      </c>
      <c r="D468" s="4">
        <v>407.1</v>
      </c>
      <c r="E468" s="4">
        <v>365410844672</v>
      </c>
      <c r="F468" s="4">
        <v>26.383669</v>
      </c>
      <c r="G468" s="4">
        <v>28903000064</v>
      </c>
      <c r="I468" s="4" t="s">
        <v>40</v>
      </c>
      <c r="J468" s="4" t="s">
        <v>41</v>
      </c>
    </row>
    <row r="469" spans="1:10" x14ac:dyDescent="0.25">
      <c r="A469" s="4" t="s">
        <v>1091</v>
      </c>
      <c r="B469" s="4" t="s">
        <v>1092</v>
      </c>
      <c r="C469" s="4" t="s">
        <v>587</v>
      </c>
      <c r="D469" s="4">
        <v>172.18</v>
      </c>
      <c r="E469" s="4">
        <v>10147688448</v>
      </c>
      <c r="F469" s="4">
        <v>7.0220222</v>
      </c>
      <c r="G469" s="4">
        <v>2699612928</v>
      </c>
      <c r="I469" s="4" t="s">
        <v>40</v>
      </c>
      <c r="J469" s="4" t="s">
        <v>41</v>
      </c>
    </row>
    <row r="470" spans="1:10" x14ac:dyDescent="0.25">
      <c r="A470" s="4" t="s">
        <v>1093</v>
      </c>
      <c r="B470" s="4" t="s">
        <v>1094</v>
      </c>
      <c r="C470" s="4" t="s">
        <v>750</v>
      </c>
      <c r="D470" s="4">
        <v>388.48</v>
      </c>
      <c r="E470" s="4">
        <v>111854059520</v>
      </c>
      <c r="F470" s="4">
        <v>8.8351145</v>
      </c>
      <c r="G470" s="4">
        <v>20815998976</v>
      </c>
      <c r="I470" s="4" t="s">
        <v>40</v>
      </c>
      <c r="J470" s="4" t="s">
        <v>41</v>
      </c>
    </row>
    <row r="471" spans="1:10" x14ac:dyDescent="0.25">
      <c r="A471" s="4" t="s">
        <v>1095</v>
      </c>
      <c r="B471" s="4" t="s">
        <v>1096</v>
      </c>
      <c r="C471" s="4" t="s">
        <v>590</v>
      </c>
      <c r="D471" s="4">
        <v>81.07</v>
      </c>
      <c r="E471" s="4">
        <v>41584562176</v>
      </c>
      <c r="F471" s="4">
        <v>150.12962</v>
      </c>
      <c r="G471" s="4">
        <v>2380859904</v>
      </c>
      <c r="I471" s="4" t="s">
        <v>40</v>
      </c>
      <c r="J471" s="4" t="s">
        <v>41</v>
      </c>
    </row>
    <row r="472" spans="1:10" x14ac:dyDescent="0.25">
      <c r="A472" s="4" t="s">
        <v>1097</v>
      </c>
      <c r="B472" s="4" t="s">
        <v>1098</v>
      </c>
      <c r="C472" s="4" t="s">
        <v>954</v>
      </c>
      <c r="D472" s="4">
        <v>102.8</v>
      </c>
      <c r="E472" s="4">
        <v>25061955584</v>
      </c>
      <c r="F472" s="4">
        <v>25.894207</v>
      </c>
      <c r="G472" s="4">
        <v>1390000000</v>
      </c>
      <c r="I472" s="4" t="s">
        <v>40</v>
      </c>
      <c r="J472" s="4" t="s">
        <v>41</v>
      </c>
    </row>
    <row r="473" spans="1:10" x14ac:dyDescent="0.25">
      <c r="A473" s="4" t="s">
        <v>1099</v>
      </c>
      <c r="B473" s="4" t="s">
        <v>1100</v>
      </c>
      <c r="C473" s="4" t="s">
        <v>77</v>
      </c>
      <c r="D473" s="4">
        <v>307.01</v>
      </c>
      <c r="E473" s="4">
        <v>27538798592</v>
      </c>
      <c r="F473" s="4">
        <v>33.047363</v>
      </c>
      <c r="G473" s="4">
        <v>1205200000</v>
      </c>
      <c r="I473" s="4" t="s">
        <v>40</v>
      </c>
      <c r="J473" s="4" t="s">
        <v>41</v>
      </c>
    </row>
    <row r="474" spans="1:10" x14ac:dyDescent="0.25">
      <c r="A474" s="4" t="s">
        <v>1101</v>
      </c>
      <c r="B474" s="4" t="s">
        <v>1102</v>
      </c>
      <c r="C474" s="4" t="s">
        <v>470</v>
      </c>
      <c r="D474" s="4">
        <v>189.8</v>
      </c>
      <c r="E474" s="4">
        <v>24867946496</v>
      </c>
      <c r="F474" s="4">
        <v>28.844986</v>
      </c>
      <c r="G474" s="4">
        <v>1515800064</v>
      </c>
      <c r="I474" s="4" t="s">
        <v>40</v>
      </c>
      <c r="J474" s="4" t="s">
        <v>41</v>
      </c>
    </row>
    <row r="475" spans="1:10" x14ac:dyDescent="0.25">
      <c r="A475" s="4" t="s">
        <v>1103</v>
      </c>
      <c r="B475" s="4" t="s">
        <v>1104</v>
      </c>
      <c r="C475" s="4" t="s">
        <v>173</v>
      </c>
      <c r="D475" s="4">
        <v>43.18</v>
      </c>
      <c r="E475" s="4">
        <v>178981093376</v>
      </c>
      <c r="F475" s="4">
        <v>11.215585</v>
      </c>
      <c r="G475" s="4">
        <v>50978000896</v>
      </c>
      <c r="I475" s="4" t="s">
        <v>40</v>
      </c>
      <c r="J475" s="4" t="s">
        <v>41</v>
      </c>
    </row>
    <row r="476" spans="1:10" x14ac:dyDescent="0.25">
      <c r="A476" s="4" t="s">
        <v>1105</v>
      </c>
      <c r="B476" s="4" t="s">
        <v>1106</v>
      </c>
      <c r="C476" s="4" t="s">
        <v>50</v>
      </c>
      <c r="D476" s="4">
        <v>529.69</v>
      </c>
      <c r="E476" s="4">
        <v>134170476544</v>
      </c>
      <c r="F476" s="4">
        <v>30.849737</v>
      </c>
      <c r="G476" s="4">
        <v>5100499968</v>
      </c>
      <c r="H476" s="4">
        <v>28</v>
      </c>
      <c r="I476" s="4" t="s">
        <v>40</v>
      </c>
      <c r="J476" s="4" t="s">
        <v>41</v>
      </c>
    </row>
    <row r="477" spans="1:10" x14ac:dyDescent="0.25">
      <c r="A477" s="4" t="s">
        <v>1107</v>
      </c>
      <c r="B477" s="4" t="s">
        <v>1108</v>
      </c>
      <c r="C477" s="4" t="s">
        <v>232</v>
      </c>
      <c r="D477" s="4">
        <v>18.77</v>
      </c>
      <c r="E477" s="4">
        <v>21559050240</v>
      </c>
      <c r="G477" s="4">
        <v>4292499968</v>
      </c>
      <c r="I477" s="4" t="s">
        <v>40</v>
      </c>
      <c r="J477" s="4" t="s">
        <v>41</v>
      </c>
    </row>
    <row r="478" spans="1:10" x14ac:dyDescent="0.25">
      <c r="A478" s="4" t="s">
        <v>1109</v>
      </c>
      <c r="B478" s="4" t="s">
        <v>1110</v>
      </c>
      <c r="C478" s="4" t="s">
        <v>612</v>
      </c>
      <c r="D478" s="4">
        <v>23.52</v>
      </c>
      <c r="E478" s="4">
        <v>25897342976</v>
      </c>
      <c r="F478" s="4">
        <v>9.22353</v>
      </c>
      <c r="G478" s="4">
        <v>3639224064</v>
      </c>
      <c r="I478" s="4" t="s">
        <v>40</v>
      </c>
      <c r="J478" s="4" t="s">
        <v>41</v>
      </c>
    </row>
    <row r="479" spans="1:10" x14ac:dyDescent="0.25">
      <c r="A479" s="4" t="s">
        <v>1111</v>
      </c>
      <c r="B479" s="4" t="s">
        <v>1112</v>
      </c>
      <c r="C479" s="4" t="s">
        <v>364</v>
      </c>
      <c r="D479" s="4">
        <v>400.6</v>
      </c>
      <c r="E479" s="4">
        <v>752068526080</v>
      </c>
      <c r="F479" s="4">
        <v>32.516235</v>
      </c>
      <c r="G479" s="4">
        <v>31093999616</v>
      </c>
      <c r="H479" s="4">
        <v>24</v>
      </c>
      <c r="I479" s="4" t="s">
        <v>40</v>
      </c>
      <c r="J479" s="4" t="s">
        <v>41</v>
      </c>
    </row>
    <row r="480" spans="1:10" x14ac:dyDescent="0.25">
      <c r="A480" s="4" t="s">
        <v>1113</v>
      </c>
      <c r="B480" s="4" t="s">
        <v>1114</v>
      </c>
      <c r="C480" s="4" t="s">
        <v>91</v>
      </c>
      <c r="D480" s="4">
        <v>142.72</v>
      </c>
      <c r="E480" s="4">
        <v>47901855744</v>
      </c>
      <c r="F480" s="4">
        <v>24.734837</v>
      </c>
      <c r="G480" s="4">
        <v>6646000128</v>
      </c>
      <c r="H480" s="4">
        <v>34</v>
      </c>
      <c r="I480" s="4" t="s">
        <v>40</v>
      </c>
      <c r="J480" s="4" t="s">
        <v>41</v>
      </c>
    </row>
    <row r="481" spans="1:10" x14ac:dyDescent="0.25">
      <c r="A481" s="4" t="s">
        <v>1115</v>
      </c>
      <c r="B481" s="4" t="s">
        <v>1116</v>
      </c>
      <c r="C481" s="4" t="s">
        <v>759</v>
      </c>
      <c r="D481" s="4">
        <v>265</v>
      </c>
      <c r="E481" s="4">
        <v>34338365440</v>
      </c>
      <c r="F481" s="4">
        <v>31.250002</v>
      </c>
      <c r="G481" s="4">
        <v>2340300032</v>
      </c>
      <c r="I481" s="4" t="s">
        <v>40</v>
      </c>
      <c r="J481" s="4" t="s">
        <v>41</v>
      </c>
    </row>
    <row r="482" spans="1:10" x14ac:dyDescent="0.25">
      <c r="A482" s="4" t="s">
        <v>1117</v>
      </c>
      <c r="B482" s="4" t="s">
        <v>1118</v>
      </c>
      <c r="C482" s="4" t="s">
        <v>94</v>
      </c>
      <c r="D482" s="4">
        <v>71.63</v>
      </c>
      <c r="E482" s="4">
        <v>26591027200</v>
      </c>
      <c r="F482" s="4">
        <v>15.143763</v>
      </c>
      <c r="G482" s="4">
        <v>2513718016</v>
      </c>
      <c r="I482" s="4" t="s">
        <v>40</v>
      </c>
      <c r="J482" s="4" t="s">
        <v>41</v>
      </c>
    </row>
    <row r="483" spans="1:10" x14ac:dyDescent="0.25">
      <c r="A483" s="4" t="s">
        <v>1119</v>
      </c>
      <c r="B483" s="4" t="s">
        <v>1120</v>
      </c>
      <c r="C483" s="4" t="s">
        <v>429</v>
      </c>
      <c r="D483" s="4">
        <v>1340.76</v>
      </c>
      <c r="E483" s="4">
        <v>63301464064</v>
      </c>
      <c r="F483" s="4">
        <v>34.19434</v>
      </c>
      <c r="G483" s="4">
        <v>3216000000</v>
      </c>
      <c r="H483" s="4">
        <v>11</v>
      </c>
      <c r="I483" s="4" t="s">
        <v>40</v>
      </c>
      <c r="J483" s="4" t="s">
        <v>41</v>
      </c>
    </row>
    <row r="484" spans="1:10" x14ac:dyDescent="0.25">
      <c r="A484" s="4" t="s">
        <v>1121</v>
      </c>
      <c r="B484" s="4" t="s">
        <v>1122</v>
      </c>
      <c r="C484" s="4" t="s">
        <v>277</v>
      </c>
      <c r="D484" s="4">
        <v>282.18</v>
      </c>
      <c r="E484" s="4">
        <v>47663263744</v>
      </c>
      <c r="F484" s="4">
        <v>34.665844</v>
      </c>
      <c r="G484" s="4">
        <v>2766000128</v>
      </c>
      <c r="I484" s="4" t="s">
        <v>40</v>
      </c>
      <c r="J484" s="4" t="s">
        <v>41</v>
      </c>
    </row>
    <row r="485" spans="1:10" x14ac:dyDescent="0.25">
      <c r="A485" s="4" t="s">
        <v>1123</v>
      </c>
      <c r="B485" s="4" t="s">
        <v>1124</v>
      </c>
      <c r="C485" s="4" t="s">
        <v>1125</v>
      </c>
      <c r="I485" s="4" t="s">
        <v>40</v>
      </c>
      <c r="J485" s="4" t="s">
        <v>41</v>
      </c>
    </row>
    <row r="486" spans="1:10" x14ac:dyDescent="0.25">
      <c r="A486" s="4" t="s">
        <v>1126</v>
      </c>
      <c r="B486" s="4" t="s">
        <v>1127</v>
      </c>
      <c r="C486" s="4" t="s">
        <v>371</v>
      </c>
      <c r="D486" s="4">
        <v>118.77</v>
      </c>
      <c r="E486" s="4">
        <v>942291025920</v>
      </c>
      <c r="F486" s="4">
        <v>43.032608</v>
      </c>
      <c r="G486" s="4">
        <v>44073000960</v>
      </c>
      <c r="H486" s="4">
        <v>30</v>
      </c>
      <c r="I486" s="4" t="s">
        <v>40</v>
      </c>
      <c r="J486" s="4" t="s">
        <v>41</v>
      </c>
    </row>
    <row r="487" spans="1:10" x14ac:dyDescent="0.25">
      <c r="A487" s="4" t="s">
        <v>1128</v>
      </c>
      <c r="B487" s="4" t="s">
        <v>1129</v>
      </c>
      <c r="C487" s="4" t="s">
        <v>730</v>
      </c>
      <c r="D487" s="4">
        <v>109.04</v>
      </c>
      <c r="E487" s="4">
        <v>188277932032</v>
      </c>
      <c r="F487" s="4">
        <v>22.716665</v>
      </c>
      <c r="G487" s="4">
        <v>20963000320</v>
      </c>
      <c r="I487" s="4" t="s">
        <v>40</v>
      </c>
      <c r="J487" s="4" t="s">
        <v>41</v>
      </c>
    </row>
    <row r="488" spans="1:10" x14ac:dyDescent="0.25">
      <c r="A488" s="4" t="s">
        <v>1130</v>
      </c>
      <c r="B488" s="4" t="s">
        <v>1131</v>
      </c>
      <c r="C488" s="4" t="s">
        <v>535</v>
      </c>
      <c r="D488" s="4">
        <v>30.95</v>
      </c>
      <c r="E488" s="4">
        <v>77595885568</v>
      </c>
      <c r="G488" s="4">
        <v>7792999936</v>
      </c>
      <c r="I488" s="4" t="s">
        <v>40</v>
      </c>
      <c r="J488" s="4" t="s">
        <v>41</v>
      </c>
    </row>
    <row r="489" spans="1:10" x14ac:dyDescent="0.25">
      <c r="A489" s="4" t="s">
        <v>1132</v>
      </c>
      <c r="B489" s="4" t="s">
        <v>1133</v>
      </c>
      <c r="C489" s="4" t="s">
        <v>954</v>
      </c>
      <c r="D489" s="4">
        <v>225.15</v>
      </c>
      <c r="E489" s="4">
        <v>89995878400</v>
      </c>
      <c r="F489" s="4">
        <v>33.405045</v>
      </c>
      <c r="G489" s="4">
        <v>7774000128</v>
      </c>
      <c r="I489" s="4" t="s">
        <v>40</v>
      </c>
      <c r="J489" s="4" t="s">
        <v>41</v>
      </c>
    </row>
    <row r="490" spans="1:10" x14ac:dyDescent="0.25">
      <c r="A490" s="4" t="s">
        <v>1134</v>
      </c>
      <c r="B490" s="4" t="s">
        <v>1135</v>
      </c>
      <c r="C490" s="4" t="s">
        <v>68</v>
      </c>
      <c r="D490" s="4">
        <v>476.88</v>
      </c>
      <c r="E490" s="4">
        <v>46822871040</v>
      </c>
      <c r="F490" s="4">
        <v>118.62687</v>
      </c>
      <c r="G490" s="4">
        <v>1452048000</v>
      </c>
      <c r="H490" s="4">
        <v>13</v>
      </c>
      <c r="I490" s="4" t="s">
        <v>40</v>
      </c>
      <c r="J490" s="4" t="s">
        <v>41</v>
      </c>
    </row>
    <row r="491" spans="1:10" x14ac:dyDescent="0.25">
      <c r="A491" s="4" t="s">
        <v>1136</v>
      </c>
      <c r="B491" s="4" t="s">
        <v>1137</v>
      </c>
      <c r="C491" s="4" t="s">
        <v>91</v>
      </c>
      <c r="D491" s="4">
        <v>110.5</v>
      </c>
      <c r="E491" s="4">
        <v>36006354944</v>
      </c>
      <c r="F491" s="4">
        <v>21.624266</v>
      </c>
      <c r="G491" s="4">
        <v>3965199872</v>
      </c>
      <c r="H491" s="4">
        <v>39</v>
      </c>
      <c r="I491" s="4" t="s">
        <v>40</v>
      </c>
      <c r="J491" s="4" t="s">
        <v>41</v>
      </c>
    </row>
    <row r="492" spans="1:10" x14ac:dyDescent="0.25">
      <c r="A492" s="4" t="s">
        <v>1138</v>
      </c>
      <c r="B492" s="4" t="s">
        <v>1139</v>
      </c>
      <c r="C492" s="4" t="s">
        <v>201</v>
      </c>
      <c r="D492" s="4">
        <v>83.67</v>
      </c>
      <c r="E492" s="4">
        <v>251147124736</v>
      </c>
      <c r="F492" s="4">
        <v>11.801127</v>
      </c>
      <c r="I492" s="4" t="s">
        <v>40</v>
      </c>
      <c r="J492" s="4" t="s">
        <v>41</v>
      </c>
    </row>
    <row r="493" spans="1:10" x14ac:dyDescent="0.25">
      <c r="A493" s="4" t="s">
        <v>1140</v>
      </c>
      <c r="B493" s="4" t="s">
        <v>1141</v>
      </c>
      <c r="C493" s="4" t="s">
        <v>590</v>
      </c>
      <c r="D493" s="4">
        <v>227.2</v>
      </c>
      <c r="E493" s="4">
        <v>166309265408</v>
      </c>
      <c r="F493" s="4">
        <v>97.93104</v>
      </c>
      <c r="G493" s="4">
        <v>3842946048</v>
      </c>
      <c r="I493" s="4" t="s">
        <v>40</v>
      </c>
      <c r="J493" s="4" t="s">
        <v>41</v>
      </c>
    </row>
    <row r="494" spans="1:10" x14ac:dyDescent="0.25">
      <c r="A494" s="4" t="s">
        <v>1142</v>
      </c>
      <c r="B494" s="4" t="s">
        <v>1143</v>
      </c>
      <c r="C494" s="4" t="s">
        <v>86</v>
      </c>
      <c r="D494" s="4">
        <v>403.64</v>
      </c>
      <c r="E494" s="4">
        <v>28406472704</v>
      </c>
      <c r="F494" s="4">
        <v>51.68246</v>
      </c>
      <c r="G494" s="4">
        <v>912200000</v>
      </c>
      <c r="I494" s="4" t="s">
        <v>40</v>
      </c>
      <c r="J494" s="4" t="s">
        <v>41</v>
      </c>
    </row>
    <row r="495" spans="1:10" x14ac:dyDescent="0.25">
      <c r="A495" s="4" t="s">
        <v>1144</v>
      </c>
      <c r="B495" s="4" t="s">
        <v>1145</v>
      </c>
      <c r="C495" s="4" t="s">
        <v>152</v>
      </c>
      <c r="D495" s="4">
        <v>396.42</v>
      </c>
      <c r="E495" s="4">
        <v>148389232640</v>
      </c>
      <c r="F495" s="4">
        <v>13.397094</v>
      </c>
      <c r="G495" s="4">
        <v>6312000000</v>
      </c>
      <c r="H495" s="4">
        <v>54</v>
      </c>
      <c r="I495" s="4" t="s">
        <v>40</v>
      </c>
      <c r="J495" s="4" t="s">
        <v>41</v>
      </c>
    </row>
    <row r="496" spans="1:10" x14ac:dyDescent="0.25">
      <c r="A496" s="4" t="s">
        <v>1146</v>
      </c>
      <c r="B496" s="4" t="s">
        <v>1147</v>
      </c>
      <c r="C496" s="4" t="s">
        <v>1148</v>
      </c>
      <c r="D496" s="4">
        <v>19.19</v>
      </c>
      <c r="E496" s="4">
        <v>13830924288</v>
      </c>
      <c r="F496" s="4">
        <v>29.523079</v>
      </c>
      <c r="G496" s="4">
        <v>688000000</v>
      </c>
      <c r="I496" s="4" t="s">
        <v>40</v>
      </c>
      <c r="J496" s="4" t="s">
        <v>41</v>
      </c>
    </row>
    <row r="497" spans="1:10" x14ac:dyDescent="0.25">
      <c r="A497" s="4" t="s">
        <v>1149</v>
      </c>
      <c r="B497" s="4" t="s">
        <v>1150</v>
      </c>
      <c r="C497" s="4" t="s">
        <v>701</v>
      </c>
      <c r="D497" s="4">
        <v>74.27</v>
      </c>
      <c r="E497" s="4">
        <v>90844643328</v>
      </c>
      <c r="F497" s="4">
        <v>29.472221</v>
      </c>
      <c r="G497" s="4">
        <v>7032999936</v>
      </c>
      <c r="I497" s="4" t="s">
        <v>40</v>
      </c>
      <c r="J497" s="4" t="s">
        <v>41</v>
      </c>
    </row>
    <row r="498" spans="1:10" x14ac:dyDescent="0.25">
      <c r="A498" s="4" t="s">
        <v>1151</v>
      </c>
      <c r="B498" s="4" t="s">
        <v>1152</v>
      </c>
      <c r="C498" s="4" t="s">
        <v>146</v>
      </c>
      <c r="D498" s="4">
        <v>321.63</v>
      </c>
      <c r="E498" s="4">
        <v>29870401536</v>
      </c>
      <c r="F498" s="4">
        <v>19.756142</v>
      </c>
      <c r="G498" s="4">
        <v>2816000000</v>
      </c>
      <c r="I498" s="4" t="s">
        <v>40</v>
      </c>
      <c r="J498" s="4" t="s">
        <v>41</v>
      </c>
    </row>
    <row r="499" spans="1:10" x14ac:dyDescent="0.25">
      <c r="A499" s="4" t="s">
        <v>1153</v>
      </c>
      <c r="B499" s="4" t="s">
        <v>1154</v>
      </c>
      <c r="C499" s="4" t="s">
        <v>256</v>
      </c>
      <c r="D499" s="4">
        <v>71.38</v>
      </c>
      <c r="E499" s="4">
        <v>7350276096</v>
      </c>
      <c r="F499" s="4">
        <v>17.117504</v>
      </c>
      <c r="G499" s="4">
        <v>1808924032</v>
      </c>
      <c r="I499" s="4" t="s">
        <v>40</v>
      </c>
      <c r="J499" s="4" t="s">
        <v>41</v>
      </c>
    </row>
    <row r="500" spans="1:10" x14ac:dyDescent="0.25">
      <c r="A500" s="4" t="s">
        <v>1155</v>
      </c>
      <c r="B500" s="4" t="s">
        <v>1156</v>
      </c>
      <c r="C500" s="4" t="s">
        <v>114</v>
      </c>
      <c r="D500" s="4">
        <v>77.18</v>
      </c>
      <c r="E500" s="4">
        <v>48209276928</v>
      </c>
      <c r="F500" s="4">
        <v>21.145205</v>
      </c>
      <c r="G500" s="4">
        <v>6122999808</v>
      </c>
      <c r="H500" s="4">
        <v>39</v>
      </c>
      <c r="I500" s="4" t="s">
        <v>40</v>
      </c>
      <c r="J500" s="4" t="s">
        <v>41</v>
      </c>
    </row>
    <row r="501" spans="1:10" x14ac:dyDescent="0.25">
      <c r="A501" s="4" t="s">
        <v>1157</v>
      </c>
      <c r="B501" s="4" t="s">
        <v>1158</v>
      </c>
      <c r="C501" s="4" t="s">
        <v>429</v>
      </c>
      <c r="D501" s="4">
        <v>88.23</v>
      </c>
      <c r="E501" s="4">
        <v>20234190848</v>
      </c>
      <c r="F501" s="4">
        <v>19.563192</v>
      </c>
      <c r="G501" s="4">
        <v>2008000000</v>
      </c>
      <c r="H501" s="4">
        <v>81</v>
      </c>
      <c r="I501" s="4" t="s">
        <v>40</v>
      </c>
      <c r="J501" s="4" t="s">
        <v>41</v>
      </c>
    </row>
    <row r="502" spans="1:10" x14ac:dyDescent="0.25">
      <c r="A502" s="4" t="s">
        <v>1159</v>
      </c>
      <c r="B502" s="4" t="s">
        <v>1160</v>
      </c>
      <c r="C502" s="4" t="s">
        <v>311</v>
      </c>
      <c r="D502" s="4">
        <v>150.16</v>
      </c>
      <c r="E502" s="4">
        <v>40978829312</v>
      </c>
      <c r="F502" s="4">
        <v>18.911839</v>
      </c>
      <c r="G502" s="4">
        <v>3068000000</v>
      </c>
      <c r="H502" s="4">
        <v>62</v>
      </c>
      <c r="I502" s="4" t="s">
        <v>40</v>
      </c>
      <c r="J502" s="4" t="s">
        <v>41</v>
      </c>
    </row>
    <row r="503" spans="1:10" x14ac:dyDescent="0.25">
      <c r="A503" s="4" t="s">
        <v>1161</v>
      </c>
      <c r="B503" s="4" t="s">
        <v>1162</v>
      </c>
      <c r="C503" s="4" t="s">
        <v>694</v>
      </c>
      <c r="D503" s="4">
        <v>384.7</v>
      </c>
      <c r="E503" s="4">
        <v>18324566016</v>
      </c>
      <c r="F503" s="4">
        <v>35.00455</v>
      </c>
      <c r="G503" s="4">
        <v>1184000000</v>
      </c>
      <c r="I503" s="4" t="s">
        <v>40</v>
      </c>
      <c r="J503" s="4" t="s">
        <v>41</v>
      </c>
    </row>
    <row r="504" spans="1:10" x14ac:dyDescent="0.25">
      <c r="A504" s="4" t="s">
        <v>1163</v>
      </c>
      <c r="B504" s="4" t="s">
        <v>1164</v>
      </c>
      <c r="C504" s="4" t="s">
        <v>47</v>
      </c>
      <c r="D504" s="4">
        <v>96.39</v>
      </c>
      <c r="E504" s="4">
        <v>18385207296</v>
      </c>
      <c r="F504" s="4">
        <v>23.395632</v>
      </c>
      <c r="G504" s="4">
        <v>2524999936</v>
      </c>
      <c r="H504" s="4">
        <v>85</v>
      </c>
      <c r="I504" s="4" t="s">
        <v>40</v>
      </c>
      <c r="J504" s="4" t="s">
        <v>41</v>
      </c>
    </row>
    <row r="505" spans="1:10" x14ac:dyDescent="0.25">
      <c r="A505" s="4" t="s">
        <v>1165</v>
      </c>
      <c r="B505" s="4" t="s">
        <v>1166</v>
      </c>
      <c r="C505" s="4" t="s">
        <v>232</v>
      </c>
      <c r="D505" s="4">
        <v>77.8</v>
      </c>
      <c r="E505" s="4">
        <v>32148799488</v>
      </c>
      <c r="F505" s="4">
        <v>12.796053</v>
      </c>
      <c r="G505" s="4">
        <v>4065999872</v>
      </c>
      <c r="H505" s="4">
        <v>78</v>
      </c>
      <c r="I505" s="4" t="s">
        <v>40</v>
      </c>
      <c r="J505" s="4" t="s">
        <v>41</v>
      </c>
    </row>
  </sheetData>
  <autoFilter ref="A2:J505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110" customWidth="1"/>
    <col min="3" max="12" width="21" customWidth="1"/>
  </cols>
  <sheetData>
    <row r="1" ht="25" customHeight="1" spans="1:1" s="1" customFormat="1" x14ac:dyDescent="0.25">
      <c r="A1" s="1" t="s">
        <v>0</v>
      </c>
    </row>
    <row r="2" spans="1:5" s="2" customFormat="1" x14ac:dyDescent="0.25">
      <c r="A2" s="3" t="s">
        <v>27</v>
      </c>
      <c r="B2" s="3" t="s">
        <v>36</v>
      </c>
      <c r="C2" s="3" t="s">
        <v>1167</v>
      </c>
      <c r="D2" s="3" t="s">
        <v>1168</v>
      </c>
      <c r="E2" s="3" t="s">
        <v>35</v>
      </c>
    </row>
    <row r="3" spans="1:5" x14ac:dyDescent="0.25">
      <c r="A3" s="4" t="s">
        <v>1169</v>
      </c>
      <c r="B3" s="4" t="s">
        <v>41</v>
      </c>
      <c r="C3" s="4" t="s">
        <v>1170</v>
      </c>
      <c r="D3" s="4" t="s">
        <v>1170</v>
      </c>
      <c r="E3" s="4" t="s">
        <v>40</v>
      </c>
    </row>
    <row r="4" spans="1:5" x14ac:dyDescent="0.25">
      <c r="A4" s="4" t="s">
        <v>54</v>
      </c>
      <c r="B4" s="4" t="s">
        <v>1171</v>
      </c>
      <c r="C4" s="4" t="s">
        <v>1172</v>
      </c>
      <c r="D4" s="4" t="s">
        <v>1173</v>
      </c>
      <c r="E4" s="4" t="s">
        <v>1174</v>
      </c>
    </row>
    <row r="5" spans="1:5" x14ac:dyDescent="0.25">
      <c r="A5" s="4" t="s">
        <v>890</v>
      </c>
      <c r="B5" s="4" t="s">
        <v>1175</v>
      </c>
      <c r="C5" s="4" t="s">
        <v>1176</v>
      </c>
      <c r="D5" s="4" t="s">
        <v>1177</v>
      </c>
      <c r="E5" s="4" t="s">
        <v>1174</v>
      </c>
    </row>
    <row r="6" spans="1:5" x14ac:dyDescent="0.25">
      <c r="A6" s="4" t="s">
        <v>833</v>
      </c>
      <c r="B6" s="4" t="s">
        <v>1178</v>
      </c>
      <c r="C6" s="4" t="s">
        <v>1179</v>
      </c>
      <c r="D6" s="4" t="s">
        <v>1180</v>
      </c>
      <c r="E6" s="4" t="s">
        <v>1174</v>
      </c>
    </row>
    <row r="7" spans="1:5" x14ac:dyDescent="0.25">
      <c r="A7" s="4" t="s">
        <v>1181</v>
      </c>
      <c r="B7" s="4" t="s">
        <v>1182</v>
      </c>
      <c r="C7" s="4" t="s">
        <v>1183</v>
      </c>
      <c r="D7" s="4" t="s">
        <v>1183</v>
      </c>
      <c r="E7" s="4" t="s">
        <v>1184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12" width="21" customWidth="1"/>
  </cols>
  <sheetData>
    <row r="1" ht="25" customHeight="1" spans="1:1" s="1" customFormat="1" x14ac:dyDescent="0.25">
      <c r="A1" s="1" t="s">
        <v>0</v>
      </c>
    </row>
    <row r="2" spans="1:9" s="2" customFormat="1" x14ac:dyDescent="0.25">
      <c r="A2" s="3" t="s">
        <v>27</v>
      </c>
      <c r="B2" s="3" t="s">
        <v>1185</v>
      </c>
      <c r="C2" s="3" t="s">
        <v>1186</v>
      </c>
      <c r="D2" s="3" t="s">
        <v>1187</v>
      </c>
      <c r="E2" s="3" t="s">
        <v>1188</v>
      </c>
      <c r="F2" s="3" t="s">
        <v>1189</v>
      </c>
      <c r="G2" s="3" t="s">
        <v>1190</v>
      </c>
      <c r="H2" s="3" t="s">
        <v>1191</v>
      </c>
      <c r="I2" s="3" t="s">
        <v>36</v>
      </c>
    </row>
    <row r="3" spans="1:9" x14ac:dyDescent="0.25">
      <c r="A3" s="4" t="s">
        <v>54</v>
      </c>
      <c r="B3" s="4" t="s">
        <v>1172</v>
      </c>
      <c r="C3" s="4">
        <v>23769</v>
      </c>
      <c r="D3" s="4">
        <v>8706</v>
      </c>
      <c r="E3" s="4">
        <v>6595</v>
      </c>
      <c r="F3" s="4">
        <v>6210</v>
      </c>
      <c r="G3" s="4">
        <v>427</v>
      </c>
      <c r="H3" s="4">
        <v>0.18365010304556903</v>
      </c>
      <c r="I3" s="4" t="s">
        <v>1171</v>
      </c>
    </row>
    <row r="4" spans="1:9" x14ac:dyDescent="0.25">
      <c r="A4" s="4" t="s">
        <v>890</v>
      </c>
      <c r="B4" s="4" t="s">
        <v>1176</v>
      </c>
      <c r="C4" s="4">
        <v>33172</v>
      </c>
      <c r="D4" s="4">
        <v>6065</v>
      </c>
      <c r="E4" s="4">
        <v>10422</v>
      </c>
      <c r="F4" s="4">
        <v>9987</v>
      </c>
      <c r="G4" s="4">
        <v>968</v>
      </c>
      <c r="H4" s="4">
        <v>0.1683089637635092</v>
      </c>
      <c r="I4" s="4" t="s">
        <v>1175</v>
      </c>
    </row>
    <row r="5" spans="1:9" x14ac:dyDescent="0.25">
      <c r="A5" s="4" t="s">
        <v>833</v>
      </c>
      <c r="B5" s="4" t="s">
        <v>1179</v>
      </c>
      <c r="C5" s="4">
        <v>46398</v>
      </c>
      <c r="D5" s="4">
        <v>3797</v>
      </c>
      <c r="E5" s="4">
        <v>9027</v>
      </c>
      <c r="F5" s="4">
        <v>7942</v>
      </c>
      <c r="G5" s="4">
        <v>1481</v>
      </c>
      <c r="H5" s="4">
        <v>0.20307692307692307</v>
      </c>
      <c r="I5" s="4" t="s">
        <v>1178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12" width="21" customWidth="1"/>
  </cols>
  <sheetData>
    <row r="1" ht="25" customHeight="1" spans="1:1" s="1" customFormat="1" x14ac:dyDescent="0.25">
      <c r="A1" s="1" t="s">
        <v>0</v>
      </c>
    </row>
    <row r="2" spans="1:3" s="2" customFormat="1" x14ac:dyDescent="0.25">
      <c r="A2" s="3" t="s">
        <v>1192</v>
      </c>
      <c r="B2" s="3" t="s">
        <v>1193</v>
      </c>
      <c r="C2" s="3" t="s">
        <v>1194</v>
      </c>
    </row>
    <row r="3" spans="1:3" x14ac:dyDescent="0.25">
      <c r="A3" s="4" t="s">
        <v>1195</v>
      </c>
      <c r="B3" s="4">
        <v>23769</v>
      </c>
      <c r="C3" s="4" t="s">
        <v>1196</v>
      </c>
    </row>
    <row r="4" spans="1:3" x14ac:dyDescent="0.25">
      <c r="A4" s="4" t="s">
        <v>1197</v>
      </c>
      <c r="B4" s="5">
        <v>0.07</v>
      </c>
      <c r="C4" s="4" t="s">
        <v>1198</v>
      </c>
    </row>
    <row r="5" spans="1:3" x14ac:dyDescent="0.25">
      <c r="A5" s="4" t="s">
        <v>1199</v>
      </c>
      <c r="B5" s="5">
        <v>0.35</v>
      </c>
      <c r="C5" s="4" t="s">
        <v>1198</v>
      </c>
    </row>
    <row r="6" spans="1:3" x14ac:dyDescent="0.25">
      <c r="A6" s="4" t="s">
        <v>1200</v>
      </c>
      <c r="B6" s="5">
        <v>0.2</v>
      </c>
      <c r="C6" s="4" t="s">
        <v>1198</v>
      </c>
    </row>
    <row r="7" spans="1:3" x14ac:dyDescent="0.25">
      <c r="A7" s="4" t="s">
        <v>1201</v>
      </c>
      <c r="B7" s="5">
        <v>0.02</v>
      </c>
      <c r="C7" s="4" t="s">
        <v>1198</v>
      </c>
    </row>
    <row r="8" spans="1:3" x14ac:dyDescent="0.25">
      <c r="A8" s="4" t="s">
        <v>1202</v>
      </c>
      <c r="B8" s="5">
        <v>0.02</v>
      </c>
      <c r="C8" s="4" t="s">
        <v>1198</v>
      </c>
    </row>
    <row r="9" spans="1:3" x14ac:dyDescent="0.25">
      <c r="A9" s="4" t="s">
        <v>1203</v>
      </c>
      <c r="B9" s="5">
        <v>0.03</v>
      </c>
      <c r="C9" s="4" t="s">
        <v>1198</v>
      </c>
    </row>
    <row r="10" spans="1:3" x14ac:dyDescent="0.25">
      <c r="A10" s="4" t="s">
        <v>1204</v>
      </c>
      <c r="B10" s="5">
        <v>0.1</v>
      </c>
      <c r="C10" s="4" t="s">
        <v>1205</v>
      </c>
    </row>
    <row r="11" spans="1:3" x14ac:dyDescent="0.25">
      <c r="A11" s="4" t="s">
        <v>1206</v>
      </c>
      <c r="B11" s="5">
        <v>0.025</v>
      </c>
      <c r="C11" s="4" t="s">
        <v>1198</v>
      </c>
    </row>
    <row r="12" spans="1:3" x14ac:dyDescent="0.25">
      <c r="A12" s="4" t="s">
        <v>1207</v>
      </c>
      <c r="B12" s="4">
        <v>427</v>
      </c>
      <c r="C12" s="4" t="s">
        <v>1208</v>
      </c>
    </row>
    <row r="13" spans="1:3" x14ac:dyDescent="0.25">
      <c r="A13" s="4" t="s">
        <v>1209</v>
      </c>
      <c r="B13" s="4">
        <v>-385</v>
      </c>
      <c r="C13" s="4" t="s">
        <v>1210</v>
      </c>
    </row>
    <row r="16" spans="1:6" x14ac:dyDescent="0.25">
      <c r="A16" s="4" t="s">
        <v>1211</v>
      </c>
      <c r="B16" s="4">
        <v>1</v>
      </c>
      <c r="C16" s="4">
        <v>2</v>
      </c>
      <c r="D16" s="4">
        <v>3</v>
      </c>
      <c r="E16" s="4">
        <v>4</v>
      </c>
      <c r="F16" s="4">
        <v>5</v>
      </c>
    </row>
    <row r="17" spans="1:6" x14ac:dyDescent="0.25">
      <c r="A17" s="4" t="s">
        <v>1186</v>
      </c>
      <c r="B17" s="4">
        <f>$B$3*(1+$B$4)</f>
        <v>25432.83</v>
      </c>
      <c r="C17" s="4">
        <f>B17*(1+$B$4)</f>
        <v>27213.1281</v>
      </c>
      <c r="D17" s="4">
        <f>C17*(1+$B$4)</f>
        <v>29118.047067000003</v>
      </c>
      <c r="E17" s="4">
        <f>D17*(1+$B$4)</f>
        <v>31156.310361690004</v>
      </c>
      <c r="F17" s="4">
        <f>E17*(1+$B$4)</f>
        <v>33337.25208700831</v>
      </c>
    </row>
    <row r="18" spans="1:6" x14ac:dyDescent="0.25">
      <c r="A18" s="4" t="s">
        <v>1212</v>
      </c>
      <c r="B18" s="4">
        <f>B17*$B$5</f>
        <v>8901.4905</v>
      </c>
      <c r="C18" s="4">
        <f>C17*$B$5</f>
        <v>9524.594835</v>
      </c>
      <c r="D18" s="4">
        <f>D17*$B$5</f>
        <v>10191.31647345</v>
      </c>
      <c r="E18" s="4">
        <f>E17*$B$5</f>
        <v>10904.7086265915</v>
      </c>
      <c r="F18" s="4">
        <f>F17*$B$5</f>
        <v>11668.038230452908</v>
      </c>
    </row>
    <row r="19" spans="1:6" x14ac:dyDescent="0.25">
      <c r="A19" s="4" t="s">
        <v>1213</v>
      </c>
      <c r="B19" s="4">
        <f>B18*(1-$B$6)</f>
        <v>7121.1924</v>
      </c>
      <c r="C19" s="4">
        <f>C18*(1-$B$6)</f>
        <v>7619.675868</v>
      </c>
      <c r="D19" s="4">
        <f>D18*(1-$B$6)</f>
        <v>8153.053178760001</v>
      </c>
      <c r="E19" s="4">
        <f>E18*(1-$B$6)</f>
        <v>8723.7669012732</v>
      </c>
      <c r="F19" s="4">
        <f>F18*(1-$B$6)</f>
        <v>9334.430584362328</v>
      </c>
    </row>
    <row r="20" spans="1:6" x14ac:dyDescent="0.25">
      <c r="A20" s="4" t="s">
        <v>1214</v>
      </c>
      <c r="B20" s="4">
        <f>B17*$B$7</f>
        <v>508.6566</v>
      </c>
      <c r="C20" s="4">
        <f>C17*$B$7</f>
        <v>544.262562</v>
      </c>
      <c r="D20" s="4">
        <f>D17*$B$7</f>
        <v>582.3609413400001</v>
      </c>
      <c r="E20" s="4">
        <f>E17*$B$7</f>
        <v>623.1262072338001</v>
      </c>
      <c r="F20" s="4">
        <f>F17*$B$7</f>
        <v>666.7450417401662</v>
      </c>
    </row>
    <row r="21" spans="1:6" x14ac:dyDescent="0.25">
      <c r="A21" s="4" t="s">
        <v>1215</v>
      </c>
      <c r="B21" s="4">
        <f>B17*$B$8</f>
        <v>508.6566</v>
      </c>
      <c r="C21" s="4">
        <f>C17*$B$8</f>
        <v>544.262562</v>
      </c>
      <c r="D21" s="4">
        <f>D17*$B$8</f>
        <v>582.3609413400001</v>
      </c>
      <c r="E21" s="4">
        <f>E17*$B$8</f>
        <v>623.1262072338001</v>
      </c>
      <c r="F21" s="4">
        <f>F17*$B$8</f>
        <v>666.7450417401662</v>
      </c>
    </row>
    <row r="22" spans="1:6" x14ac:dyDescent="0.25">
      <c r="A22" s="4" t="s">
        <v>1216</v>
      </c>
      <c r="B22" s="4">
        <f>(B17-$B$3)*$B$9</f>
        <v>49.91490000000005</v>
      </c>
      <c r="C22" s="4">
        <f>(C17-B17)*$B$9</f>
        <v>53.408943</v>
      </c>
      <c r="D22" s="4">
        <f>(D17-C17)*$B$9</f>
        <v>57.14756901000004</v>
      </c>
      <c r="E22" s="4">
        <f>(E17-D17)*$B$9</f>
        <v>61.14789884070004</v>
      </c>
      <c r="F22" s="4">
        <f>(F17-E17)*$B$9</f>
        <v>65.42825175954917</v>
      </c>
    </row>
    <row r="23" spans="1:6" x14ac:dyDescent="0.25">
      <c r="A23" s="4" t="s">
        <v>1217</v>
      </c>
      <c r="B23" s="4">
        <f>B19+B20-B21-B22</f>
        <v>7071.2775</v>
      </c>
      <c r="C23" s="4">
        <f>C19+C20-C21-C22</f>
        <v>7566.266925</v>
      </c>
      <c r="D23" s="4">
        <f>D19+D20-D21-D22</f>
        <v>8095.905609750002</v>
      </c>
      <c r="E23" s="4">
        <f>E19+E20-E21-E22</f>
        <v>8662.6190024325</v>
      </c>
      <c r="F23" s="4">
        <f>F19+F20-F21-F22</f>
        <v>9269.002332602779</v>
      </c>
    </row>
    <row r="24" spans="1:6" x14ac:dyDescent="0.25">
      <c r="A24" s="4" t="s">
        <v>1218</v>
      </c>
      <c r="B24" s="4">
        <f>B23/(1+$B$10)^1</f>
        <v>6428.434090909091</v>
      </c>
      <c r="C24" s="4">
        <f>C23/(1+$B$10)^2</f>
        <v>6253.113161157024</v>
      </c>
      <c r="D24" s="4">
        <f>D23/(1+$B$10)^3</f>
        <v>6082.573711307287</v>
      </c>
      <c r="E24" s="4">
        <f>E23/(1+$B$10)^4</f>
        <v>5916.685337362543</v>
      </c>
      <c r="F24" s="4">
        <f>F23/(1+$B$10)^5</f>
        <v>5755.321191798111</v>
      </c>
    </row>
    <row r="27" spans="1:2" x14ac:dyDescent="0.25">
      <c r="A27" s="4" t="s">
        <v>1219</v>
      </c>
      <c r="B27" s="4">
        <f>F17*(1+$B$11)*($B$5*(1-$B$6)+$B$7-$B$8)-F17*$B$11*$B$9</f>
        <v>9542.788409906127</v>
      </c>
    </row>
    <row r="28" spans="1:2" x14ac:dyDescent="0.25">
      <c r="A28" s="4" t="s">
        <v>1220</v>
      </c>
      <c r="B28" s="4">
        <f>B27/($B$10-$B$11)</f>
        <v>127237.17879874834</v>
      </c>
    </row>
    <row r="29" spans="1:2" x14ac:dyDescent="0.25">
      <c r="A29" s="4" t="s">
        <v>1221</v>
      </c>
      <c r="B29" s="4">
        <f>B28/(1+$B$10)^5</f>
        <v>79004.27740203308</v>
      </c>
    </row>
    <row r="30" spans="1:2" x14ac:dyDescent="0.25">
      <c r="A30" s="4" t="s">
        <v>1222</v>
      </c>
      <c r="B30" s="4">
        <f>SUM(B24:F24)+B29</f>
        <v>109440.40489456714</v>
      </c>
    </row>
    <row r="31" spans="1:2" x14ac:dyDescent="0.25">
      <c r="A31" s="4" t="s">
        <v>1223</v>
      </c>
      <c r="B31" s="4">
        <f>B30-$B$13</f>
        <v>109825.40489456714</v>
      </c>
    </row>
    <row r="32" spans="1:2" x14ac:dyDescent="0.25">
      <c r="A32" s="4" t="s">
        <v>1224</v>
      </c>
      <c r="B32" s="4">
        <f>B31/$B$12</f>
        <v>257.2023533830612</v>
      </c>
    </row>
    <row r="33" spans="1:2" x14ac:dyDescent="0.25">
      <c r="A33" s="4" t="s">
        <v>1225</v>
      </c>
      <c r="B33" s="4">
        <f>(B30*(1+$B$10)-B23-$B$13)/$B$12</f>
        <v>266.2720559344821</v>
      </c>
    </row>
    <row r="34" spans="1:2" x14ac:dyDescent="0.25">
      <c r="A34" s="4" t="s">
        <v>1226</v>
      </c>
      <c r="B34" s="6">
        <f>B29/B30</f>
        <v>0.7218931388105183</v>
      </c>
    </row>
    <row r="36" spans="1:2" x14ac:dyDescent="0.25">
      <c r="A36" s="4" t="s">
        <v>36</v>
      </c>
      <c r="B36" s="4" t="s">
        <v>1171</v>
      </c>
    </row>
    <row r="37" spans="1:2" x14ac:dyDescent="0.25">
      <c r="A37" s="4" t="s">
        <v>1227</v>
      </c>
      <c r="B37" s="4" t="s">
        <v>1172</v>
      </c>
    </row>
    <row r="38" spans="1:2" x14ac:dyDescent="0.25">
      <c r="A38" s="4" t="s">
        <v>1228</v>
      </c>
      <c r="B38" s="4" t="s">
        <v>1229</v>
      </c>
    </row>
    <row r="39" spans="1:2" x14ac:dyDescent="0.25">
      <c r="A39" s="4" t="s">
        <v>1230</v>
      </c>
      <c r="B39" s="4" t="str">
        <f>IF(AND(B10&gt;B11,B12&gt;0,B27&gt;0),"PASS","FAIL")</f>
        <v>PASS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12" width="21" customWidth="1"/>
  </cols>
  <sheetData>
    <row r="1" ht="25" customHeight="1" spans="1:1" s="1" customFormat="1" x14ac:dyDescent="0.25">
      <c r="A1" s="1" t="s">
        <v>0</v>
      </c>
    </row>
    <row r="2" spans="1:3" s="2" customFormat="1" x14ac:dyDescent="0.25">
      <c r="A2" s="3" t="s">
        <v>1192</v>
      </c>
      <c r="B2" s="3" t="s">
        <v>1193</v>
      </c>
      <c r="C2" s="3" t="s">
        <v>1194</v>
      </c>
    </row>
    <row r="3" spans="1:3" x14ac:dyDescent="0.25">
      <c r="A3" s="4" t="s">
        <v>1195</v>
      </c>
      <c r="B3" s="4">
        <v>33172</v>
      </c>
      <c r="C3" s="4" t="s">
        <v>1196</v>
      </c>
    </row>
    <row r="4" spans="1:3" x14ac:dyDescent="0.25">
      <c r="A4" s="4" t="s">
        <v>1197</v>
      </c>
      <c r="B4" s="5">
        <v>0.04</v>
      </c>
      <c r="C4" s="4" t="s">
        <v>1198</v>
      </c>
    </row>
    <row r="5" spans="1:3" x14ac:dyDescent="0.25">
      <c r="A5" s="4" t="s">
        <v>1199</v>
      </c>
      <c r="B5" s="5">
        <v>0.18</v>
      </c>
      <c r="C5" s="4" t="s">
        <v>1198</v>
      </c>
    </row>
    <row r="6" spans="1:3" x14ac:dyDescent="0.25">
      <c r="A6" s="4" t="s">
        <v>1200</v>
      </c>
      <c r="B6" s="5">
        <v>0.21</v>
      </c>
      <c r="C6" s="4" t="s">
        <v>1198</v>
      </c>
    </row>
    <row r="7" spans="1:3" x14ac:dyDescent="0.25">
      <c r="A7" s="4" t="s">
        <v>1201</v>
      </c>
      <c r="B7" s="5">
        <v>0.03</v>
      </c>
      <c r="C7" s="4" t="s">
        <v>1198</v>
      </c>
    </row>
    <row r="8" spans="1:3" x14ac:dyDescent="0.25">
      <c r="A8" s="4" t="s">
        <v>1202</v>
      </c>
      <c r="B8" s="5">
        <v>0.025</v>
      </c>
      <c r="C8" s="4" t="s">
        <v>1198</v>
      </c>
    </row>
    <row r="9" spans="1:3" x14ac:dyDescent="0.25">
      <c r="A9" s="4" t="s">
        <v>1203</v>
      </c>
      <c r="B9" s="5">
        <v>0.02</v>
      </c>
      <c r="C9" s="4" t="s">
        <v>1198</v>
      </c>
    </row>
    <row r="10" spans="1:3" x14ac:dyDescent="0.25">
      <c r="A10" s="4" t="s">
        <v>1204</v>
      </c>
      <c r="B10" s="5">
        <v>0.105</v>
      </c>
      <c r="C10" s="4" t="s">
        <v>1205</v>
      </c>
    </row>
    <row r="11" spans="1:3" x14ac:dyDescent="0.25">
      <c r="A11" s="4" t="s">
        <v>1206</v>
      </c>
      <c r="B11" s="5">
        <v>0.02</v>
      </c>
      <c r="C11" s="4" t="s">
        <v>1198</v>
      </c>
    </row>
    <row r="12" spans="1:3" x14ac:dyDescent="0.25">
      <c r="A12" s="4" t="s">
        <v>1207</v>
      </c>
      <c r="B12" s="4">
        <v>968</v>
      </c>
      <c r="C12" s="4" t="s">
        <v>1208</v>
      </c>
    </row>
    <row r="13" spans="1:3" x14ac:dyDescent="0.25">
      <c r="A13" s="4" t="s">
        <v>1209</v>
      </c>
      <c r="B13" s="4">
        <v>-435</v>
      </c>
      <c r="C13" s="4" t="s">
        <v>1210</v>
      </c>
    </row>
    <row r="16" spans="1:6" x14ac:dyDescent="0.25">
      <c r="A16" s="4" t="s">
        <v>1211</v>
      </c>
      <c r="B16" s="4">
        <v>1</v>
      </c>
      <c r="C16" s="4">
        <v>2</v>
      </c>
      <c r="D16" s="4">
        <v>3</v>
      </c>
      <c r="E16" s="4">
        <v>4</v>
      </c>
      <c r="F16" s="4">
        <v>5</v>
      </c>
    </row>
    <row r="17" spans="1:6" x14ac:dyDescent="0.25">
      <c r="A17" s="4" t="s">
        <v>1186</v>
      </c>
      <c r="B17" s="4">
        <f>$B$3*(1+$B$4)</f>
        <v>34498.880000000005</v>
      </c>
      <c r="C17" s="4">
        <f>B17*(1+$B$4)</f>
        <v>35878.83520000001</v>
      </c>
      <c r="D17" s="4">
        <f>C17*(1+$B$4)</f>
        <v>37313.98860800001</v>
      </c>
      <c r="E17" s="4">
        <f>D17*(1+$B$4)</f>
        <v>38806.54815232001</v>
      </c>
      <c r="F17" s="4">
        <f>E17*(1+$B$4)</f>
        <v>40358.81007841281</v>
      </c>
    </row>
    <row r="18" spans="1:6" x14ac:dyDescent="0.25">
      <c r="A18" s="4" t="s">
        <v>1212</v>
      </c>
      <c r="B18" s="4">
        <f>B17*$B$5</f>
        <v>6209.798400000001</v>
      </c>
      <c r="C18" s="4">
        <f>C17*$B$5</f>
        <v>6458.1903360000015</v>
      </c>
      <c r="D18" s="4">
        <f>D17*$B$5</f>
        <v>6716.517949440001</v>
      </c>
      <c r="E18" s="4">
        <f>E17*$B$5</f>
        <v>6985.178667417601</v>
      </c>
      <c r="F18" s="4">
        <f>F17*$B$5</f>
        <v>7264.585814114305</v>
      </c>
    </row>
    <row r="19" spans="1:6" x14ac:dyDescent="0.25">
      <c r="A19" s="4" t="s">
        <v>1213</v>
      </c>
      <c r="B19" s="4">
        <f>B18*(1-$B$6)</f>
        <v>4905.740736000001</v>
      </c>
      <c r="C19" s="4">
        <f>C18*(1-$B$6)</f>
        <v>5101.970365440002</v>
      </c>
      <c r="D19" s="4">
        <f>D18*(1-$B$6)</f>
        <v>5306.049180057601</v>
      </c>
      <c r="E19" s="4">
        <f>E18*(1-$B$6)</f>
        <v>5518.291147259905</v>
      </c>
      <c r="F19" s="4">
        <f>F18*(1-$B$6)</f>
        <v>5739.022793150301</v>
      </c>
    </row>
    <row r="20" spans="1:6" x14ac:dyDescent="0.25">
      <c r="A20" s="4" t="s">
        <v>1214</v>
      </c>
      <c r="B20" s="4">
        <f>B17*$B$7</f>
        <v>1034.9664</v>
      </c>
      <c r="C20" s="4">
        <f>C17*$B$7</f>
        <v>1076.3650560000003</v>
      </c>
      <c r="D20" s="4">
        <f>D17*$B$7</f>
        <v>1119.4196582400002</v>
      </c>
      <c r="E20" s="4">
        <f>E17*$B$7</f>
        <v>1164.1964445696</v>
      </c>
      <c r="F20" s="4">
        <f>F17*$B$7</f>
        <v>1210.7643023523842</v>
      </c>
    </row>
    <row r="21" spans="1:6" x14ac:dyDescent="0.25">
      <c r="A21" s="4" t="s">
        <v>1215</v>
      </c>
      <c r="B21" s="4">
        <f>B17*$B$8</f>
        <v>862.4720000000002</v>
      </c>
      <c r="C21" s="4">
        <f>C17*$B$8</f>
        <v>896.9708800000003</v>
      </c>
      <c r="D21" s="4">
        <f>D17*$B$8</f>
        <v>932.8497152000002</v>
      </c>
      <c r="E21" s="4">
        <f>E17*$B$8</f>
        <v>970.1637038080003</v>
      </c>
      <c r="F21" s="4">
        <f>F17*$B$8</f>
        <v>1008.9702519603203</v>
      </c>
    </row>
    <row r="22" spans="1:6" x14ac:dyDescent="0.25">
      <c r="A22" s="4" t="s">
        <v>1216</v>
      </c>
      <c r="B22" s="4">
        <f>(B17-$B$3)*$B$9</f>
        <v>26.537600000000094</v>
      </c>
      <c r="C22" s="4">
        <f>(C17-B17)*$B$9</f>
        <v>27.59910400000008</v>
      </c>
      <c r="D22" s="4">
        <f>(D17-C17)*$B$9</f>
        <v>28.703068159999965</v>
      </c>
      <c r="E22" s="4">
        <f>(E17-D17)*$B$9</f>
        <v>29.8511908864</v>
      </c>
      <c r="F22" s="4">
        <f>(F17-E17)*$B$9</f>
        <v>31.04523852185608</v>
      </c>
    </row>
    <row r="23" spans="1:6" x14ac:dyDescent="0.25">
      <c r="A23" s="4" t="s">
        <v>1217</v>
      </c>
      <c r="B23" s="4">
        <f>B19+B20-B21-B22</f>
        <v>5051.6975360000015</v>
      </c>
      <c r="C23" s="4">
        <f>C19+C20-C21-C22</f>
        <v>5253.765437440002</v>
      </c>
      <c r="D23" s="4">
        <f>D19+D20-D21-D22</f>
        <v>5463.916054937601</v>
      </c>
      <c r="E23" s="4">
        <f>E19+E20-E21-E22</f>
        <v>5682.472697135105</v>
      </c>
      <c r="F23" s="4">
        <f>F19+F20-F21-F22</f>
        <v>5909.771605020509</v>
      </c>
    </row>
    <row r="24" spans="1:6" x14ac:dyDescent="0.25">
      <c r="A24" s="4" t="s">
        <v>1218</v>
      </c>
      <c r="B24" s="4">
        <f>B23/(1+$B$10)^1</f>
        <v>4571.671978280545</v>
      </c>
      <c r="C24" s="4">
        <f>C23/(1+$B$10)^2</f>
        <v>4302.7500972052185</v>
      </c>
      <c r="D24" s="4">
        <f>D23/(1+$B$10)^3</f>
        <v>4049.647150310793</v>
      </c>
      <c r="E24" s="4">
        <f>E23/(1+$B$10)^4</f>
        <v>3811.432612057217</v>
      </c>
      <c r="F24" s="4">
        <f>F23/(1+$B$10)^5</f>
        <v>3587.2306937009103</v>
      </c>
    </row>
    <row r="27" spans="1:2" x14ac:dyDescent="0.25">
      <c r="A27" s="4" t="s">
        <v>1219</v>
      </c>
      <c r="B27" s="4">
        <f>F17*(1+$B$11)*($B$5*(1-$B$6)+$B$7-$B$8)-F17*$B$11*$B$9</f>
        <v>6043.489656381847</v>
      </c>
    </row>
    <row r="28" spans="1:2" x14ac:dyDescent="0.25">
      <c r="A28" s="4" t="s">
        <v>1220</v>
      </c>
      <c r="B28" s="4">
        <f>B27/($B$10-$B$11)</f>
        <v>71099.87831037468</v>
      </c>
    </row>
    <row r="29" spans="1:2" x14ac:dyDescent="0.25">
      <c r="A29" s="4" t="s">
        <v>1221</v>
      </c>
      <c r="B29" s="4">
        <f>B28/(1+$B$10)^5</f>
        <v>43157.618067118274</v>
      </c>
    </row>
    <row r="30" spans="1:2" x14ac:dyDescent="0.25">
      <c r="A30" s="4" t="s">
        <v>1222</v>
      </c>
      <c r="B30" s="4">
        <f>SUM(B24:F24)+B29</f>
        <v>63480.35059867296</v>
      </c>
    </row>
    <row r="31" spans="1:2" x14ac:dyDescent="0.25">
      <c r="A31" s="4" t="s">
        <v>1223</v>
      </c>
      <c r="B31" s="4">
        <f>B30-$B$13</f>
        <v>63915.35059867296</v>
      </c>
    </row>
    <row r="32" spans="1:2" x14ac:dyDescent="0.25">
      <c r="A32" s="4" t="s">
        <v>1224</v>
      </c>
      <c r="B32" s="4">
        <f>B31/$B$12</f>
        <v>66.02825475069521</v>
      </c>
    </row>
    <row r="33" spans="1:2" x14ac:dyDescent="0.25">
      <c r="A33" s="4" t="s">
        <v>1225</v>
      </c>
      <c r="B33" s="4">
        <f>(B30*(1+$B$10)-B23-$B$13)/$B$12</f>
        <v>67.69534078050994</v>
      </c>
    </row>
    <row r="34" spans="1:2" x14ac:dyDescent="0.25">
      <c r="A34" s="4" t="s">
        <v>1226</v>
      </c>
      <c r="B34" s="6">
        <f>B29/B30</f>
        <v>0.6798579034316247</v>
      </c>
    </row>
    <row r="36" spans="1:2" x14ac:dyDescent="0.25">
      <c r="A36" s="4" t="s">
        <v>36</v>
      </c>
      <c r="B36" s="4" t="s">
        <v>1175</v>
      </c>
    </row>
    <row r="37" spans="1:2" x14ac:dyDescent="0.25">
      <c r="A37" s="4" t="s">
        <v>1227</v>
      </c>
      <c r="B37" s="4" t="s">
        <v>1176</v>
      </c>
    </row>
    <row r="38" spans="1:2" x14ac:dyDescent="0.25">
      <c r="A38" s="4" t="s">
        <v>1228</v>
      </c>
      <c r="B38" s="4" t="s">
        <v>1229</v>
      </c>
    </row>
    <row r="39" spans="1:2" x14ac:dyDescent="0.25">
      <c r="A39" s="4" t="s">
        <v>1230</v>
      </c>
      <c r="B39" s="4" t="str">
        <f>IF(AND(B10&gt;B11,B12&gt;0,B27&gt;0),"PASS","FAIL")</f>
        <v>PASS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12" width="21" customWidth="1"/>
  </cols>
  <sheetData>
    <row r="1" ht="25" customHeight="1" spans="1:1" s="1" customFormat="1" x14ac:dyDescent="0.25">
      <c r="A1" s="1" t="s">
        <v>0</v>
      </c>
    </row>
    <row r="2" spans="1:3" s="2" customFormat="1" x14ac:dyDescent="0.25">
      <c r="A2" s="3" t="s">
        <v>1192</v>
      </c>
      <c r="B2" s="3" t="s">
        <v>1193</v>
      </c>
      <c r="C2" s="3" t="s">
        <v>1194</v>
      </c>
    </row>
    <row r="3" spans="1:3" x14ac:dyDescent="0.25">
      <c r="A3" s="4" t="s">
        <v>1195</v>
      </c>
      <c r="B3" s="4">
        <v>46398</v>
      </c>
      <c r="C3" s="4" t="s">
        <v>1196</v>
      </c>
    </row>
    <row r="4" spans="1:3" x14ac:dyDescent="0.25">
      <c r="A4" s="4" t="s">
        <v>1197</v>
      </c>
      <c r="B4" s="5">
        <v>0.035</v>
      </c>
      <c r="C4" s="4" t="s">
        <v>1198</v>
      </c>
    </row>
    <row r="5" spans="1:3" x14ac:dyDescent="0.25">
      <c r="A5" s="4" t="s">
        <v>1199</v>
      </c>
      <c r="B5" s="5">
        <v>0.1</v>
      </c>
      <c r="C5" s="4" t="s">
        <v>1198</v>
      </c>
    </row>
    <row r="6" spans="1:3" x14ac:dyDescent="0.25">
      <c r="A6" s="4" t="s">
        <v>1200</v>
      </c>
      <c r="B6" s="5">
        <v>0.22</v>
      </c>
      <c r="C6" s="4" t="s">
        <v>1198</v>
      </c>
    </row>
    <row r="7" spans="1:3" x14ac:dyDescent="0.25">
      <c r="A7" s="4" t="s">
        <v>1201</v>
      </c>
      <c r="B7" s="5">
        <v>0.017</v>
      </c>
      <c r="C7" s="4" t="s">
        <v>1198</v>
      </c>
    </row>
    <row r="8" spans="1:3" x14ac:dyDescent="0.25">
      <c r="A8" s="4" t="s">
        <v>1202</v>
      </c>
      <c r="B8" s="5">
        <v>0.025</v>
      </c>
      <c r="C8" s="4" t="s">
        <v>1198</v>
      </c>
    </row>
    <row r="9" spans="1:3" x14ac:dyDescent="0.25">
      <c r="A9" s="4" t="s">
        <v>1203</v>
      </c>
      <c r="B9" s="5">
        <v>0.1</v>
      </c>
      <c r="C9" s="4" t="s">
        <v>1198</v>
      </c>
    </row>
    <row r="10" spans="1:3" x14ac:dyDescent="0.25">
      <c r="A10" s="4" t="s">
        <v>1204</v>
      </c>
      <c r="B10" s="5">
        <v>0.1</v>
      </c>
      <c r="C10" s="4" t="s">
        <v>1205</v>
      </c>
    </row>
    <row r="11" spans="1:3" x14ac:dyDescent="0.25">
      <c r="A11" s="4" t="s">
        <v>1206</v>
      </c>
      <c r="B11" s="5">
        <v>0.02</v>
      </c>
      <c r="C11" s="4" t="s">
        <v>1198</v>
      </c>
    </row>
    <row r="12" spans="1:3" x14ac:dyDescent="0.25">
      <c r="A12" s="4" t="s">
        <v>1207</v>
      </c>
      <c r="B12" s="4">
        <v>1481</v>
      </c>
      <c r="C12" s="4" t="s">
        <v>1208</v>
      </c>
    </row>
    <row r="13" spans="1:3" x14ac:dyDescent="0.25">
      <c r="A13" s="4" t="s">
        <v>1209</v>
      </c>
      <c r="B13" s="4">
        <v>-1085</v>
      </c>
      <c r="C13" s="4" t="s">
        <v>1210</v>
      </c>
    </row>
    <row r="16" spans="1:6" x14ac:dyDescent="0.25">
      <c r="A16" s="4" t="s">
        <v>1211</v>
      </c>
      <c r="B16" s="4">
        <v>1</v>
      </c>
      <c r="C16" s="4">
        <v>2</v>
      </c>
      <c r="D16" s="4">
        <v>3</v>
      </c>
      <c r="E16" s="4">
        <v>4</v>
      </c>
      <c r="F16" s="4">
        <v>5</v>
      </c>
    </row>
    <row r="17" spans="1:6" x14ac:dyDescent="0.25">
      <c r="A17" s="4" t="s">
        <v>1186</v>
      </c>
      <c r="B17" s="4">
        <f>$B$3*(1+$B$4)</f>
        <v>48021.92999999999</v>
      </c>
      <c r="C17" s="4">
        <f>B17*(1+$B$4)</f>
        <v>49702.69754999999</v>
      </c>
      <c r="D17" s="4">
        <f>C17*(1+$B$4)</f>
        <v>51442.291964249984</v>
      </c>
      <c r="E17" s="4">
        <f>D17*(1+$B$4)</f>
        <v>53242.77218299873</v>
      </c>
      <c r="F17" s="4">
        <f>E17*(1+$B$4)</f>
        <v>55106.269209403676</v>
      </c>
    </row>
    <row r="18" spans="1:6" x14ac:dyDescent="0.25">
      <c r="A18" s="4" t="s">
        <v>1212</v>
      </c>
      <c r="B18" s="4">
        <f>B17*$B$5</f>
        <v>4802.192999999999</v>
      </c>
      <c r="C18" s="4">
        <f>C17*$B$5</f>
        <v>4970.269754999999</v>
      </c>
      <c r="D18" s="4">
        <f>D17*$B$5</f>
        <v>5144.229196424999</v>
      </c>
      <c r="E18" s="4">
        <f>E17*$B$5</f>
        <v>5324.277218299873</v>
      </c>
      <c r="F18" s="4">
        <f>F17*$B$5</f>
        <v>5510.626920940368</v>
      </c>
    </row>
    <row r="19" spans="1:6" x14ac:dyDescent="0.25">
      <c r="A19" s="4" t="s">
        <v>1213</v>
      </c>
      <c r="B19" s="4">
        <f>B18*(1-$B$6)</f>
        <v>3745.7105399999996</v>
      </c>
      <c r="C19" s="4">
        <f>C18*(1-$B$6)</f>
        <v>3876.8104088999994</v>
      </c>
      <c r="D19" s="4">
        <f>D18*(1-$B$6)</f>
        <v>4012.498773211499</v>
      </c>
      <c r="E19" s="4">
        <f>E18*(1-$B$6)</f>
        <v>4152.936230273901</v>
      </c>
      <c r="F19" s="4">
        <f>F18*(1-$B$6)</f>
        <v>4298.288998333487</v>
      </c>
    </row>
    <row r="20" spans="1:6" x14ac:dyDescent="0.25">
      <c r="A20" s="4" t="s">
        <v>1214</v>
      </c>
      <c r="B20" s="4">
        <f>B17*$B$7</f>
        <v>816.37281</v>
      </c>
      <c r="C20" s="4">
        <f>C17*$B$7</f>
        <v>844.9458583499999</v>
      </c>
      <c r="D20" s="4">
        <f>D17*$B$7</f>
        <v>874.5189633922498</v>
      </c>
      <c r="E20" s="4">
        <f>E17*$B$7</f>
        <v>905.1271271109784</v>
      </c>
      <c r="F20" s="4">
        <f>F17*$B$7</f>
        <v>936.8065765598626</v>
      </c>
    </row>
    <row r="21" spans="1:6" x14ac:dyDescent="0.25">
      <c r="A21" s="4" t="s">
        <v>1215</v>
      </c>
      <c r="B21" s="4">
        <f>B17*$B$8</f>
        <v>1200.5482499999998</v>
      </c>
      <c r="C21" s="4">
        <f>C17*$B$8</f>
        <v>1242.5674387499998</v>
      </c>
      <c r="D21" s="4">
        <f>D17*$B$8</f>
        <v>1286.0572991062497</v>
      </c>
      <c r="E21" s="4">
        <f>E17*$B$8</f>
        <v>1331.0693045749683</v>
      </c>
      <c r="F21" s="4">
        <f>F17*$B$8</f>
        <v>1377.656730235092</v>
      </c>
    </row>
    <row r="22" spans="1:6" x14ac:dyDescent="0.25">
      <c r="A22" s="4" t="s">
        <v>1216</v>
      </c>
      <c r="B22" s="4">
        <f>(B17-$B$3)*$B$9</f>
        <v>162.39299999999932</v>
      </c>
      <c r="C22" s="4">
        <f>(C17-B17)*$B$9</f>
        <v>168.0767549999997</v>
      </c>
      <c r="D22" s="4">
        <f>(D17-C17)*$B$9</f>
        <v>173.9594414249994</v>
      </c>
      <c r="E22" s="4">
        <f>(E17-D17)*$B$9</f>
        <v>180.0480218748744</v>
      </c>
      <c r="F22" s="4">
        <f>(F17-E17)*$B$9</f>
        <v>186.3497026404948</v>
      </c>
    </row>
    <row r="23" spans="1:6" x14ac:dyDescent="0.25">
      <c r="A23" s="4" t="s">
        <v>1217</v>
      </c>
      <c r="B23" s="4">
        <f>B19+B20-B21-B22</f>
        <v>3199.142100000001</v>
      </c>
      <c r="C23" s="4">
        <f>C19+C20-C21-C22</f>
        <v>3311.1120734999995</v>
      </c>
      <c r="D23" s="4">
        <f>D19+D20-D21-D22</f>
        <v>3427.000996072499</v>
      </c>
      <c r="E23" s="4">
        <f>E19+E20-E21-E22</f>
        <v>3546.946030935036</v>
      </c>
      <c r="F23" s="4">
        <f>F19+F20-F21-F22</f>
        <v>3671.089142017763</v>
      </c>
    </row>
    <row r="24" spans="1:6" x14ac:dyDescent="0.25">
      <c r="A24" s="4" t="s">
        <v>1218</v>
      </c>
      <c r="B24" s="4">
        <f>B23/(1+$B$10)^1</f>
        <v>2908.3110000000006</v>
      </c>
      <c r="C24" s="4">
        <f>C23/(1+$B$10)^2</f>
        <v>2736.456259090908</v>
      </c>
      <c r="D24" s="4">
        <f>D23/(1+$B$10)^3</f>
        <v>2574.756571053718</v>
      </c>
      <c r="E24" s="4">
        <f>E23/(1+$B$10)^4</f>
        <v>2422.6118645823612</v>
      </c>
      <c r="F24" s="4">
        <f>F23/(1+$B$10)^5</f>
        <v>2279.4575271297676</v>
      </c>
    </row>
    <row r="27" spans="1:2" x14ac:dyDescent="0.25">
      <c r="A27" s="4" t="s">
        <v>1219</v>
      </c>
      <c r="B27" s="4">
        <f>F17*(1+$B$11)*($B$5*(1-$B$6)+$B$7-$B$8)-F17*$B$11*$B$9</f>
        <v>3824.3750831326156</v>
      </c>
    </row>
    <row r="28" spans="1:2" x14ac:dyDescent="0.25">
      <c r="A28" s="4" t="s">
        <v>1220</v>
      </c>
      <c r="B28" s="4">
        <f>B27/($B$10-$B$11)</f>
        <v>47804.688539157694</v>
      </c>
    </row>
    <row r="29" spans="1:2" x14ac:dyDescent="0.25">
      <c r="A29" s="4" t="s">
        <v>1221</v>
      </c>
      <c r="B29" s="4">
        <f>B28/(1+$B$10)^5</f>
        <v>29682.950456164617</v>
      </c>
    </row>
    <row r="30" spans="1:2" x14ac:dyDescent="0.25">
      <c r="A30" s="4" t="s">
        <v>1222</v>
      </c>
      <c r="B30" s="4">
        <f>SUM(B24:F24)+B29</f>
        <v>42604.54367802137</v>
      </c>
    </row>
    <row r="31" spans="1:2" x14ac:dyDescent="0.25">
      <c r="A31" s="4" t="s">
        <v>1223</v>
      </c>
      <c r="B31" s="4">
        <f>B30-$B$13</f>
        <v>43689.54367802137</v>
      </c>
    </row>
    <row r="32" spans="1:2" x14ac:dyDescent="0.25">
      <c r="A32" s="4" t="s">
        <v>1224</v>
      </c>
      <c r="B32" s="4">
        <f>B31/$B$12</f>
        <v>29.500029492249407</v>
      </c>
    </row>
    <row r="33" spans="1:2" x14ac:dyDescent="0.25">
      <c r="A33" s="4" t="s">
        <v>1225</v>
      </c>
      <c r="B33" s="4">
        <f>(B30*(1+$B$10)-B23-$B$13)/$B$12</f>
        <v>30.21664817408745</v>
      </c>
    </row>
    <row r="34" spans="1:2" x14ac:dyDescent="0.25">
      <c r="A34" s="4" t="s">
        <v>1226</v>
      </c>
      <c r="B34" s="6">
        <f>B29/B30</f>
        <v>0.6967085642435202</v>
      </c>
    </row>
    <row r="36" spans="1:2" x14ac:dyDescent="0.25">
      <c r="A36" s="4" t="s">
        <v>36</v>
      </c>
      <c r="B36" s="4" t="s">
        <v>1178</v>
      </c>
    </row>
    <row r="37" spans="1:2" x14ac:dyDescent="0.25">
      <c r="A37" s="4" t="s">
        <v>1227</v>
      </c>
      <c r="B37" s="4" t="s">
        <v>1179</v>
      </c>
    </row>
    <row r="38" spans="1:2" x14ac:dyDescent="0.25">
      <c r="A38" s="4" t="s">
        <v>1228</v>
      </c>
      <c r="B38" s="4" t="s">
        <v>1229</v>
      </c>
    </row>
    <row r="39" spans="1:2" x14ac:dyDescent="0.25">
      <c r="A39" s="4" t="s">
        <v>1230</v>
      </c>
      <c r="B39" s="4" t="str">
        <f>IF(AND(B10&gt;B11,B12&gt;0,B27&gt;0),"PASS","FAIL")</f>
        <v>PASS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12" width="21" customWidth="1"/>
  </cols>
  <sheetData>
    <row r="1" ht="25" customHeight="1" spans="1:1" s="1" customFormat="1" x14ac:dyDescent="0.25">
      <c r="A1" s="1" t="s">
        <v>0</v>
      </c>
    </row>
    <row r="2" spans="1:7" s="2" customFormat="1" x14ac:dyDescent="0.25">
      <c r="A2" s="3" t="s">
        <v>27</v>
      </c>
      <c r="B2" s="3" t="s">
        <v>1231</v>
      </c>
      <c r="C2" s="3">
        <v>-0.01</v>
      </c>
      <c r="D2" s="3">
        <v>-0.005</v>
      </c>
      <c r="E2" s="3">
        <v>0</v>
      </c>
      <c r="F2" s="3">
        <v>0.005</v>
      </c>
      <c r="G2" s="3">
        <v>0.01</v>
      </c>
    </row>
    <row r="3" spans="1:7" x14ac:dyDescent="0.25">
      <c r="A3" s="4" t="s">
        <v>54</v>
      </c>
      <c r="B3" s="5">
        <v>0.09000000000000001</v>
      </c>
      <c r="C3" s="7">
        <f>((('DCF_ADBE'!$B$3*(1+'DCF_ADBE'!$B$4)^1*('DCF_ADBE'!$B$5*(1-'DCF_ADBE'!$B$6)+'DCF_ADBE'!$B$7-'DCF_ADBE'!$B$8)-'DCF_ADBE'!$B$3*(1+'DCF_ADBE'!$B$4)^0*'DCF_ADBE'!$B$4*'DCF_ADBE'!$B$9)/(1+0.09000000000000001)^1+('DCF_ADBE'!$B$3*(1+'DCF_ADBE'!$B$4)^2*('DCF_ADBE'!$B$5*(1-'DCF_ADBE'!$B$6)+'DCF_ADBE'!$B$7-'DCF_ADBE'!$B$8)-'DCF_ADBE'!$B$3*(1+'DCF_ADBE'!$B$4)^1*'DCF_ADBE'!$B$4*'DCF_ADBE'!$B$9)/(1+0.09000000000000001)^2+('DCF_ADBE'!$B$3*(1+'DCF_ADBE'!$B$4)^3*('DCF_ADBE'!$B$5*(1-'DCF_ADBE'!$B$6)+'DCF_ADBE'!$B$7-'DCF_ADBE'!$B$8)-'DCF_ADBE'!$B$3*(1+'DCF_ADBE'!$B$4)^2*'DCF_ADBE'!$B$4*'DCF_ADBE'!$B$9)/(1+0.09000000000000001)^3+('DCF_ADBE'!$B$3*(1+'DCF_ADBE'!$B$4)^4*('DCF_ADBE'!$B$5*(1-'DCF_ADBE'!$B$6)+'DCF_ADBE'!$B$7-'DCF_ADBE'!$B$8)-'DCF_ADBE'!$B$3*(1+'DCF_ADBE'!$B$4)^3*'DCF_ADBE'!$B$4*'DCF_ADBE'!$B$9)/(1+0.09000000000000001)^4+('DCF_ADBE'!$B$3*(1+'DCF_ADBE'!$B$4)^5*('DCF_ADBE'!$B$5*(1-'DCF_ADBE'!$B$6)+'DCF_ADBE'!$B$7-'DCF_ADBE'!$B$8)-'DCF_ADBE'!$B$3*(1+'DCF_ADBE'!$B$4)^4*'DCF_ADBE'!$B$4*'DCF_ADBE'!$B$9)/(1+0.09000000000000001)^5+('DCF_ADBE'!$B$3*(1+'DCF_ADBE'!$B$4)^5*(1+0.015000000000000001)*('DCF_ADBE'!$B$5*(1-'DCF_ADBE'!$B$6)+'DCF_ADBE'!$B$7-'DCF_ADBE'!$B$8)-'DCF_ADBE'!$B$3*(1+'DCF_ADBE'!$B$4)^5*0.015000000000000001*'DCF_ADBE'!$B$9)/(0.09000000000000001-0.015000000000000001)/(1+0.09000000000000001)^5-'DCF_ADBE'!$B$13)/'DCF_ADBE'!$B$12)</f>
        <v>266.10433013337973</v>
      </c>
      <c r="D3" s="7">
        <f>((('DCF_ADBE'!$B$3*(1+'DCF_ADBE'!$B$4)^1*('DCF_ADBE'!$B$5*(1-'DCF_ADBE'!$B$6)+'DCF_ADBE'!$B$7-'DCF_ADBE'!$B$8)-'DCF_ADBE'!$B$3*(1+'DCF_ADBE'!$B$4)^0*'DCF_ADBE'!$B$4*'DCF_ADBE'!$B$9)/(1+0.09000000000000001)^1+('DCF_ADBE'!$B$3*(1+'DCF_ADBE'!$B$4)^2*('DCF_ADBE'!$B$5*(1-'DCF_ADBE'!$B$6)+'DCF_ADBE'!$B$7-'DCF_ADBE'!$B$8)-'DCF_ADBE'!$B$3*(1+'DCF_ADBE'!$B$4)^1*'DCF_ADBE'!$B$4*'DCF_ADBE'!$B$9)/(1+0.09000000000000001)^2+('DCF_ADBE'!$B$3*(1+'DCF_ADBE'!$B$4)^3*('DCF_ADBE'!$B$5*(1-'DCF_ADBE'!$B$6)+'DCF_ADBE'!$B$7-'DCF_ADBE'!$B$8)-'DCF_ADBE'!$B$3*(1+'DCF_ADBE'!$B$4)^2*'DCF_ADBE'!$B$4*'DCF_ADBE'!$B$9)/(1+0.09000000000000001)^3+('DCF_ADBE'!$B$3*(1+'DCF_ADBE'!$B$4)^4*('DCF_ADBE'!$B$5*(1-'DCF_ADBE'!$B$6)+'DCF_ADBE'!$B$7-'DCF_ADBE'!$B$8)-'DCF_ADBE'!$B$3*(1+'DCF_ADBE'!$B$4)^3*'DCF_ADBE'!$B$4*'DCF_ADBE'!$B$9)/(1+0.09000000000000001)^4+('DCF_ADBE'!$B$3*(1+'DCF_ADBE'!$B$4)^5*('DCF_ADBE'!$B$5*(1-'DCF_ADBE'!$B$6)+'DCF_ADBE'!$B$7-'DCF_ADBE'!$B$8)-'DCF_ADBE'!$B$3*(1+'DCF_ADBE'!$B$4)^4*'DCF_ADBE'!$B$4*'DCF_ADBE'!$B$9)/(1+0.09000000000000001)^5+('DCF_ADBE'!$B$3*(1+'DCF_ADBE'!$B$4)^5*(1+0.02)*('DCF_ADBE'!$B$5*(1-'DCF_ADBE'!$B$6)+'DCF_ADBE'!$B$7-'DCF_ADBE'!$B$8)-'DCF_ADBE'!$B$3*(1+'DCF_ADBE'!$B$4)^5*0.02*'DCF_ADBE'!$B$9)/(0.09000000000000001-0.02)/(1+0.09000000000000001)^5-'DCF_ADBE'!$B$13)/'DCF_ADBE'!$B$12)</f>
        <v>280.72292109010266</v>
      </c>
      <c r="E3" s="7">
        <f>((('DCF_ADBE'!$B$3*(1+'DCF_ADBE'!$B$4)^1*('DCF_ADBE'!$B$5*(1-'DCF_ADBE'!$B$6)+'DCF_ADBE'!$B$7-'DCF_ADBE'!$B$8)-'DCF_ADBE'!$B$3*(1+'DCF_ADBE'!$B$4)^0*'DCF_ADBE'!$B$4*'DCF_ADBE'!$B$9)/(1+0.09000000000000001)^1+('DCF_ADBE'!$B$3*(1+'DCF_ADBE'!$B$4)^2*('DCF_ADBE'!$B$5*(1-'DCF_ADBE'!$B$6)+'DCF_ADBE'!$B$7-'DCF_ADBE'!$B$8)-'DCF_ADBE'!$B$3*(1+'DCF_ADBE'!$B$4)^1*'DCF_ADBE'!$B$4*'DCF_ADBE'!$B$9)/(1+0.09000000000000001)^2+('DCF_ADBE'!$B$3*(1+'DCF_ADBE'!$B$4)^3*('DCF_ADBE'!$B$5*(1-'DCF_ADBE'!$B$6)+'DCF_ADBE'!$B$7-'DCF_ADBE'!$B$8)-'DCF_ADBE'!$B$3*(1+'DCF_ADBE'!$B$4)^2*'DCF_ADBE'!$B$4*'DCF_ADBE'!$B$9)/(1+0.09000000000000001)^3+('DCF_ADBE'!$B$3*(1+'DCF_ADBE'!$B$4)^4*('DCF_ADBE'!$B$5*(1-'DCF_ADBE'!$B$6)+'DCF_ADBE'!$B$7-'DCF_ADBE'!$B$8)-'DCF_ADBE'!$B$3*(1+'DCF_ADBE'!$B$4)^3*'DCF_ADBE'!$B$4*'DCF_ADBE'!$B$9)/(1+0.09000000000000001)^4+('DCF_ADBE'!$B$3*(1+'DCF_ADBE'!$B$4)^5*('DCF_ADBE'!$B$5*(1-'DCF_ADBE'!$B$6)+'DCF_ADBE'!$B$7-'DCF_ADBE'!$B$8)-'DCF_ADBE'!$B$3*(1+'DCF_ADBE'!$B$4)^4*'DCF_ADBE'!$B$4*'DCF_ADBE'!$B$9)/(1+0.09000000000000001)^5+('DCF_ADBE'!$B$3*(1+'DCF_ADBE'!$B$4)^5*(1+0.025)*('DCF_ADBE'!$B$5*(1-'DCF_ADBE'!$B$6)+'DCF_ADBE'!$B$7-'DCF_ADBE'!$B$8)-'DCF_ADBE'!$B$3*(1+'DCF_ADBE'!$B$4)^5*0.025*'DCF_ADBE'!$B$9)/(0.09000000000000001-0.025)/(1+0.09000000000000001)^5-'DCF_ADBE'!$B$13)/'DCF_ADBE'!$B$12)</f>
        <v>297.5905260401676</v>
      </c>
      <c r="F3" s="7">
        <f>((('DCF_ADBE'!$B$3*(1+'DCF_ADBE'!$B$4)^1*('DCF_ADBE'!$B$5*(1-'DCF_ADBE'!$B$6)+'DCF_ADBE'!$B$7-'DCF_ADBE'!$B$8)-'DCF_ADBE'!$B$3*(1+'DCF_ADBE'!$B$4)^0*'DCF_ADBE'!$B$4*'DCF_ADBE'!$B$9)/(1+0.09000000000000001)^1+('DCF_ADBE'!$B$3*(1+'DCF_ADBE'!$B$4)^2*('DCF_ADBE'!$B$5*(1-'DCF_ADBE'!$B$6)+'DCF_ADBE'!$B$7-'DCF_ADBE'!$B$8)-'DCF_ADBE'!$B$3*(1+'DCF_ADBE'!$B$4)^1*'DCF_ADBE'!$B$4*'DCF_ADBE'!$B$9)/(1+0.09000000000000001)^2+('DCF_ADBE'!$B$3*(1+'DCF_ADBE'!$B$4)^3*('DCF_ADBE'!$B$5*(1-'DCF_ADBE'!$B$6)+'DCF_ADBE'!$B$7-'DCF_ADBE'!$B$8)-'DCF_ADBE'!$B$3*(1+'DCF_ADBE'!$B$4)^2*'DCF_ADBE'!$B$4*'DCF_ADBE'!$B$9)/(1+0.09000000000000001)^3+('DCF_ADBE'!$B$3*(1+'DCF_ADBE'!$B$4)^4*('DCF_ADBE'!$B$5*(1-'DCF_ADBE'!$B$6)+'DCF_ADBE'!$B$7-'DCF_ADBE'!$B$8)-'DCF_ADBE'!$B$3*(1+'DCF_ADBE'!$B$4)^3*'DCF_ADBE'!$B$4*'DCF_ADBE'!$B$9)/(1+0.09000000000000001)^4+('DCF_ADBE'!$B$3*(1+'DCF_ADBE'!$B$4)^5*('DCF_ADBE'!$B$5*(1-'DCF_ADBE'!$B$6)+'DCF_ADBE'!$B$7-'DCF_ADBE'!$B$8)-'DCF_ADBE'!$B$3*(1+'DCF_ADBE'!$B$4)^4*'DCF_ADBE'!$B$4*'DCF_ADBE'!$B$9)/(1+0.09000000000000001)^5+('DCF_ADBE'!$B$3*(1+'DCF_ADBE'!$B$4)^5*(1+0.030000000000000002)*('DCF_ADBE'!$B$5*(1-'DCF_ADBE'!$B$6)+'DCF_ADBE'!$B$7-'DCF_ADBE'!$B$8)-'DCF_ADBE'!$B$3*(1+'DCF_ADBE'!$B$4)^5*0.030000000000000002*'DCF_ADBE'!$B$9)/(0.09000000000000001-0.030000000000000002)/(1+0.09000000000000001)^5-'DCF_ADBE'!$B$13)/'DCF_ADBE'!$B$12)</f>
        <v>317.26939848191006</v>
      </c>
      <c r="G3" s="7">
        <f>((('DCF_ADBE'!$B$3*(1+'DCF_ADBE'!$B$4)^1*('DCF_ADBE'!$B$5*(1-'DCF_ADBE'!$B$6)+'DCF_ADBE'!$B$7-'DCF_ADBE'!$B$8)-'DCF_ADBE'!$B$3*(1+'DCF_ADBE'!$B$4)^0*'DCF_ADBE'!$B$4*'DCF_ADBE'!$B$9)/(1+0.09000000000000001)^1+('DCF_ADBE'!$B$3*(1+'DCF_ADBE'!$B$4)^2*('DCF_ADBE'!$B$5*(1-'DCF_ADBE'!$B$6)+'DCF_ADBE'!$B$7-'DCF_ADBE'!$B$8)-'DCF_ADBE'!$B$3*(1+'DCF_ADBE'!$B$4)^1*'DCF_ADBE'!$B$4*'DCF_ADBE'!$B$9)/(1+0.09000000000000001)^2+('DCF_ADBE'!$B$3*(1+'DCF_ADBE'!$B$4)^3*('DCF_ADBE'!$B$5*(1-'DCF_ADBE'!$B$6)+'DCF_ADBE'!$B$7-'DCF_ADBE'!$B$8)-'DCF_ADBE'!$B$3*(1+'DCF_ADBE'!$B$4)^2*'DCF_ADBE'!$B$4*'DCF_ADBE'!$B$9)/(1+0.09000000000000001)^3+('DCF_ADBE'!$B$3*(1+'DCF_ADBE'!$B$4)^4*('DCF_ADBE'!$B$5*(1-'DCF_ADBE'!$B$6)+'DCF_ADBE'!$B$7-'DCF_ADBE'!$B$8)-'DCF_ADBE'!$B$3*(1+'DCF_ADBE'!$B$4)^3*'DCF_ADBE'!$B$4*'DCF_ADBE'!$B$9)/(1+0.09000000000000001)^4+('DCF_ADBE'!$B$3*(1+'DCF_ADBE'!$B$4)^5*('DCF_ADBE'!$B$5*(1-'DCF_ADBE'!$B$6)+'DCF_ADBE'!$B$7-'DCF_ADBE'!$B$8)-'DCF_ADBE'!$B$3*(1+'DCF_ADBE'!$B$4)^4*'DCF_ADBE'!$B$4*'DCF_ADBE'!$B$9)/(1+0.09000000000000001)^5+('DCF_ADBE'!$B$3*(1+'DCF_ADBE'!$B$4)^5*(1+0.035)*('DCF_ADBE'!$B$5*(1-'DCF_ADBE'!$B$6)+'DCF_ADBE'!$B$7-'DCF_ADBE'!$B$8)-'DCF_ADBE'!$B$3*(1+'DCF_ADBE'!$B$4)^5*0.035*'DCF_ADBE'!$B$9)/(0.09000000000000001-0.035)/(1+0.09000000000000001)^5-'DCF_ADBE'!$B$13)/'DCF_ADBE'!$B$12)</f>
        <v>340.52624773124205</v>
      </c>
    </row>
    <row r="4" spans="1:7" x14ac:dyDescent="0.25">
      <c r="A4" s="4" t="s">
        <v>54</v>
      </c>
      <c r="B4" s="5">
        <v>0.095</v>
      </c>
      <c r="C4" s="7">
        <f>((('DCF_ADBE'!$B$3*(1+'DCF_ADBE'!$B$4)^1*('DCF_ADBE'!$B$5*(1-'DCF_ADBE'!$B$6)+'DCF_ADBE'!$B$7-'DCF_ADBE'!$B$8)-'DCF_ADBE'!$B$3*(1+'DCF_ADBE'!$B$4)^0*'DCF_ADBE'!$B$4*'DCF_ADBE'!$B$9)/(1+0.095)^1+('DCF_ADBE'!$B$3*(1+'DCF_ADBE'!$B$4)^2*('DCF_ADBE'!$B$5*(1-'DCF_ADBE'!$B$6)+'DCF_ADBE'!$B$7-'DCF_ADBE'!$B$8)-'DCF_ADBE'!$B$3*(1+'DCF_ADBE'!$B$4)^1*'DCF_ADBE'!$B$4*'DCF_ADBE'!$B$9)/(1+0.095)^2+('DCF_ADBE'!$B$3*(1+'DCF_ADBE'!$B$4)^3*('DCF_ADBE'!$B$5*(1-'DCF_ADBE'!$B$6)+'DCF_ADBE'!$B$7-'DCF_ADBE'!$B$8)-'DCF_ADBE'!$B$3*(1+'DCF_ADBE'!$B$4)^2*'DCF_ADBE'!$B$4*'DCF_ADBE'!$B$9)/(1+0.095)^3+('DCF_ADBE'!$B$3*(1+'DCF_ADBE'!$B$4)^4*('DCF_ADBE'!$B$5*(1-'DCF_ADBE'!$B$6)+'DCF_ADBE'!$B$7-'DCF_ADBE'!$B$8)-'DCF_ADBE'!$B$3*(1+'DCF_ADBE'!$B$4)^3*'DCF_ADBE'!$B$4*'DCF_ADBE'!$B$9)/(1+0.095)^4+('DCF_ADBE'!$B$3*(1+'DCF_ADBE'!$B$4)^5*('DCF_ADBE'!$B$5*(1-'DCF_ADBE'!$B$6)+'DCF_ADBE'!$B$7-'DCF_ADBE'!$B$8)-'DCF_ADBE'!$B$3*(1+'DCF_ADBE'!$B$4)^4*'DCF_ADBE'!$B$4*'DCF_ADBE'!$B$9)/(1+0.095)^5+('DCF_ADBE'!$B$3*(1+'DCF_ADBE'!$B$4)^5*(1+0.015000000000000001)*('DCF_ADBE'!$B$5*(1-'DCF_ADBE'!$B$6)+'DCF_ADBE'!$B$7-'DCF_ADBE'!$B$8)-'DCF_ADBE'!$B$3*(1+'DCF_ADBE'!$B$4)^5*0.015000000000000001*'DCF_ADBE'!$B$9)/(0.095-0.015000000000000001)/(1+0.095)^5-'DCF_ADBE'!$B$13)/'DCF_ADBE'!$B$12)</f>
        <v>249.04942273483164</v>
      </c>
      <c r="D4" s="7">
        <f>((('DCF_ADBE'!$B$3*(1+'DCF_ADBE'!$B$4)^1*('DCF_ADBE'!$B$5*(1-'DCF_ADBE'!$B$6)+'DCF_ADBE'!$B$7-'DCF_ADBE'!$B$8)-'DCF_ADBE'!$B$3*(1+'DCF_ADBE'!$B$4)^0*'DCF_ADBE'!$B$4*'DCF_ADBE'!$B$9)/(1+0.095)^1+('DCF_ADBE'!$B$3*(1+'DCF_ADBE'!$B$4)^2*('DCF_ADBE'!$B$5*(1-'DCF_ADBE'!$B$6)+'DCF_ADBE'!$B$7-'DCF_ADBE'!$B$8)-'DCF_ADBE'!$B$3*(1+'DCF_ADBE'!$B$4)^1*'DCF_ADBE'!$B$4*'DCF_ADBE'!$B$9)/(1+0.095)^2+('DCF_ADBE'!$B$3*(1+'DCF_ADBE'!$B$4)^3*('DCF_ADBE'!$B$5*(1-'DCF_ADBE'!$B$6)+'DCF_ADBE'!$B$7-'DCF_ADBE'!$B$8)-'DCF_ADBE'!$B$3*(1+'DCF_ADBE'!$B$4)^2*'DCF_ADBE'!$B$4*'DCF_ADBE'!$B$9)/(1+0.095)^3+('DCF_ADBE'!$B$3*(1+'DCF_ADBE'!$B$4)^4*('DCF_ADBE'!$B$5*(1-'DCF_ADBE'!$B$6)+'DCF_ADBE'!$B$7-'DCF_ADBE'!$B$8)-'DCF_ADBE'!$B$3*(1+'DCF_ADBE'!$B$4)^3*'DCF_ADBE'!$B$4*'DCF_ADBE'!$B$9)/(1+0.095)^4+('DCF_ADBE'!$B$3*(1+'DCF_ADBE'!$B$4)^5*('DCF_ADBE'!$B$5*(1-'DCF_ADBE'!$B$6)+'DCF_ADBE'!$B$7-'DCF_ADBE'!$B$8)-'DCF_ADBE'!$B$3*(1+'DCF_ADBE'!$B$4)^4*'DCF_ADBE'!$B$4*'DCF_ADBE'!$B$9)/(1+0.095)^5+('DCF_ADBE'!$B$3*(1+'DCF_ADBE'!$B$4)^5*(1+0.02)*('DCF_ADBE'!$B$5*(1-'DCF_ADBE'!$B$6)+'DCF_ADBE'!$B$7-'DCF_ADBE'!$B$8)-'DCF_ADBE'!$B$3*(1+'DCF_ADBE'!$B$4)^5*0.02*'DCF_ADBE'!$B$9)/(0.095-0.02)/(1+0.095)^5-'DCF_ADBE'!$B$13)/'DCF_ADBE'!$B$12)</f>
        <v>261.60296730173434</v>
      </c>
      <c r="E4" s="7">
        <f>((('DCF_ADBE'!$B$3*(1+'DCF_ADBE'!$B$4)^1*('DCF_ADBE'!$B$5*(1-'DCF_ADBE'!$B$6)+'DCF_ADBE'!$B$7-'DCF_ADBE'!$B$8)-'DCF_ADBE'!$B$3*(1+'DCF_ADBE'!$B$4)^0*'DCF_ADBE'!$B$4*'DCF_ADBE'!$B$9)/(1+0.095)^1+('DCF_ADBE'!$B$3*(1+'DCF_ADBE'!$B$4)^2*('DCF_ADBE'!$B$5*(1-'DCF_ADBE'!$B$6)+'DCF_ADBE'!$B$7-'DCF_ADBE'!$B$8)-'DCF_ADBE'!$B$3*(1+'DCF_ADBE'!$B$4)^1*'DCF_ADBE'!$B$4*'DCF_ADBE'!$B$9)/(1+0.095)^2+('DCF_ADBE'!$B$3*(1+'DCF_ADBE'!$B$4)^3*('DCF_ADBE'!$B$5*(1-'DCF_ADBE'!$B$6)+'DCF_ADBE'!$B$7-'DCF_ADBE'!$B$8)-'DCF_ADBE'!$B$3*(1+'DCF_ADBE'!$B$4)^2*'DCF_ADBE'!$B$4*'DCF_ADBE'!$B$9)/(1+0.095)^3+('DCF_ADBE'!$B$3*(1+'DCF_ADBE'!$B$4)^4*('DCF_ADBE'!$B$5*(1-'DCF_ADBE'!$B$6)+'DCF_ADBE'!$B$7-'DCF_ADBE'!$B$8)-'DCF_ADBE'!$B$3*(1+'DCF_ADBE'!$B$4)^3*'DCF_ADBE'!$B$4*'DCF_ADBE'!$B$9)/(1+0.095)^4+('DCF_ADBE'!$B$3*(1+'DCF_ADBE'!$B$4)^5*('DCF_ADBE'!$B$5*(1-'DCF_ADBE'!$B$6)+'DCF_ADBE'!$B$7-'DCF_ADBE'!$B$8)-'DCF_ADBE'!$B$3*(1+'DCF_ADBE'!$B$4)^4*'DCF_ADBE'!$B$4*'DCF_ADBE'!$B$9)/(1+0.095)^5+('DCF_ADBE'!$B$3*(1+'DCF_ADBE'!$B$4)^5*(1+0.025)*('DCF_ADBE'!$B$5*(1-'DCF_ADBE'!$B$6)+'DCF_ADBE'!$B$7-'DCF_ADBE'!$B$8)-'DCF_ADBE'!$B$3*(1+'DCF_ADBE'!$B$4)^5*0.025*'DCF_ADBE'!$B$9)/(0.095-0.025)/(1+0.095)^5-'DCF_ADBE'!$B$13)/'DCF_ADBE'!$B$12)</f>
        <v>275.94987537819463</v>
      </c>
      <c r="F4" s="7">
        <f>((('DCF_ADBE'!$B$3*(1+'DCF_ADBE'!$B$4)^1*('DCF_ADBE'!$B$5*(1-'DCF_ADBE'!$B$6)+'DCF_ADBE'!$B$7-'DCF_ADBE'!$B$8)-'DCF_ADBE'!$B$3*(1+'DCF_ADBE'!$B$4)^0*'DCF_ADBE'!$B$4*'DCF_ADBE'!$B$9)/(1+0.095)^1+('DCF_ADBE'!$B$3*(1+'DCF_ADBE'!$B$4)^2*('DCF_ADBE'!$B$5*(1-'DCF_ADBE'!$B$6)+'DCF_ADBE'!$B$7-'DCF_ADBE'!$B$8)-'DCF_ADBE'!$B$3*(1+'DCF_ADBE'!$B$4)^1*'DCF_ADBE'!$B$4*'DCF_ADBE'!$B$9)/(1+0.095)^2+('DCF_ADBE'!$B$3*(1+'DCF_ADBE'!$B$4)^3*('DCF_ADBE'!$B$5*(1-'DCF_ADBE'!$B$6)+'DCF_ADBE'!$B$7-'DCF_ADBE'!$B$8)-'DCF_ADBE'!$B$3*(1+'DCF_ADBE'!$B$4)^2*'DCF_ADBE'!$B$4*'DCF_ADBE'!$B$9)/(1+0.095)^3+('DCF_ADBE'!$B$3*(1+'DCF_ADBE'!$B$4)^4*('DCF_ADBE'!$B$5*(1-'DCF_ADBE'!$B$6)+'DCF_ADBE'!$B$7-'DCF_ADBE'!$B$8)-'DCF_ADBE'!$B$3*(1+'DCF_ADBE'!$B$4)^3*'DCF_ADBE'!$B$4*'DCF_ADBE'!$B$9)/(1+0.095)^4+('DCF_ADBE'!$B$3*(1+'DCF_ADBE'!$B$4)^5*('DCF_ADBE'!$B$5*(1-'DCF_ADBE'!$B$6)+'DCF_ADBE'!$B$7-'DCF_ADBE'!$B$8)-'DCF_ADBE'!$B$3*(1+'DCF_ADBE'!$B$4)^4*'DCF_ADBE'!$B$4*'DCF_ADBE'!$B$9)/(1+0.095)^5+('DCF_ADBE'!$B$3*(1+'DCF_ADBE'!$B$4)^5*(1+0.030000000000000002)*('DCF_ADBE'!$B$5*(1-'DCF_ADBE'!$B$6)+'DCF_ADBE'!$B$7-'DCF_ADBE'!$B$8)-'DCF_ADBE'!$B$3*(1+'DCF_ADBE'!$B$4)^5*0.030000000000000002*'DCF_ADBE'!$B$9)/(0.095-0.030000000000000002)/(1+0.095)^5-'DCF_ADBE'!$B$13)/'DCF_ADBE'!$B$12)</f>
        <v>292.5040000818028</v>
      </c>
      <c r="G4" s="7">
        <f>((('DCF_ADBE'!$B$3*(1+'DCF_ADBE'!$B$4)^1*('DCF_ADBE'!$B$5*(1-'DCF_ADBE'!$B$6)+'DCF_ADBE'!$B$7-'DCF_ADBE'!$B$8)-'DCF_ADBE'!$B$3*(1+'DCF_ADBE'!$B$4)^0*'DCF_ADBE'!$B$4*'DCF_ADBE'!$B$9)/(1+0.095)^1+('DCF_ADBE'!$B$3*(1+'DCF_ADBE'!$B$4)^2*('DCF_ADBE'!$B$5*(1-'DCF_ADBE'!$B$6)+'DCF_ADBE'!$B$7-'DCF_ADBE'!$B$8)-'DCF_ADBE'!$B$3*(1+'DCF_ADBE'!$B$4)^1*'DCF_ADBE'!$B$4*'DCF_ADBE'!$B$9)/(1+0.095)^2+('DCF_ADBE'!$B$3*(1+'DCF_ADBE'!$B$4)^3*('DCF_ADBE'!$B$5*(1-'DCF_ADBE'!$B$6)+'DCF_ADBE'!$B$7-'DCF_ADBE'!$B$8)-'DCF_ADBE'!$B$3*(1+'DCF_ADBE'!$B$4)^2*'DCF_ADBE'!$B$4*'DCF_ADBE'!$B$9)/(1+0.095)^3+('DCF_ADBE'!$B$3*(1+'DCF_ADBE'!$B$4)^4*('DCF_ADBE'!$B$5*(1-'DCF_ADBE'!$B$6)+'DCF_ADBE'!$B$7-'DCF_ADBE'!$B$8)-'DCF_ADBE'!$B$3*(1+'DCF_ADBE'!$B$4)^3*'DCF_ADBE'!$B$4*'DCF_ADBE'!$B$9)/(1+0.095)^4+('DCF_ADBE'!$B$3*(1+'DCF_ADBE'!$B$4)^5*('DCF_ADBE'!$B$5*(1-'DCF_ADBE'!$B$6)+'DCF_ADBE'!$B$7-'DCF_ADBE'!$B$8)-'DCF_ADBE'!$B$3*(1+'DCF_ADBE'!$B$4)^4*'DCF_ADBE'!$B$4*'DCF_ADBE'!$B$9)/(1+0.095)^5+('DCF_ADBE'!$B$3*(1+'DCF_ADBE'!$B$4)^5*(1+0.035)*('DCF_ADBE'!$B$5*(1-'DCF_ADBE'!$B$6)+'DCF_ADBE'!$B$7-'DCF_ADBE'!$B$8)-'DCF_ADBE'!$B$3*(1+'DCF_ADBE'!$B$4)^5*0.035*'DCF_ADBE'!$B$9)/(0.095-0.035)/(1+0.095)^5-'DCF_ADBE'!$B$13)/'DCF_ADBE'!$B$12)</f>
        <v>311.8171455693455</v>
      </c>
    </row>
    <row r="5" spans="1:7" x14ac:dyDescent="0.25">
      <c r="A5" s="4" t="s">
        <v>54</v>
      </c>
      <c r="B5" s="5">
        <v>0.1</v>
      </c>
      <c r="C5" s="7">
        <f>((('DCF_ADBE'!$B$3*(1+'DCF_ADBE'!$B$4)^1*('DCF_ADBE'!$B$5*(1-'DCF_ADBE'!$B$6)+'DCF_ADBE'!$B$7-'DCF_ADBE'!$B$8)-'DCF_ADBE'!$B$3*(1+'DCF_ADBE'!$B$4)^0*'DCF_ADBE'!$B$4*'DCF_ADBE'!$B$9)/(1+0.1)^1+('DCF_ADBE'!$B$3*(1+'DCF_ADBE'!$B$4)^2*('DCF_ADBE'!$B$5*(1-'DCF_ADBE'!$B$6)+'DCF_ADBE'!$B$7-'DCF_ADBE'!$B$8)-'DCF_ADBE'!$B$3*(1+'DCF_ADBE'!$B$4)^1*'DCF_ADBE'!$B$4*'DCF_ADBE'!$B$9)/(1+0.1)^2+('DCF_ADBE'!$B$3*(1+'DCF_ADBE'!$B$4)^3*('DCF_ADBE'!$B$5*(1-'DCF_ADBE'!$B$6)+'DCF_ADBE'!$B$7-'DCF_ADBE'!$B$8)-'DCF_ADBE'!$B$3*(1+'DCF_ADBE'!$B$4)^2*'DCF_ADBE'!$B$4*'DCF_ADBE'!$B$9)/(1+0.1)^3+('DCF_ADBE'!$B$3*(1+'DCF_ADBE'!$B$4)^4*('DCF_ADBE'!$B$5*(1-'DCF_ADBE'!$B$6)+'DCF_ADBE'!$B$7-'DCF_ADBE'!$B$8)-'DCF_ADBE'!$B$3*(1+'DCF_ADBE'!$B$4)^3*'DCF_ADBE'!$B$4*'DCF_ADBE'!$B$9)/(1+0.1)^4+('DCF_ADBE'!$B$3*(1+'DCF_ADBE'!$B$4)^5*('DCF_ADBE'!$B$5*(1-'DCF_ADBE'!$B$6)+'DCF_ADBE'!$B$7-'DCF_ADBE'!$B$8)-'DCF_ADBE'!$B$3*(1+'DCF_ADBE'!$B$4)^4*'DCF_ADBE'!$B$4*'DCF_ADBE'!$B$9)/(1+0.1)^5+('DCF_ADBE'!$B$3*(1+'DCF_ADBE'!$B$4)^5*(1+0.015000000000000001)*('DCF_ADBE'!$B$5*(1-'DCF_ADBE'!$B$6)+'DCF_ADBE'!$B$7-'DCF_ADBE'!$B$8)-'DCF_ADBE'!$B$3*(1+'DCF_ADBE'!$B$4)^5*0.015000000000000001*'DCF_ADBE'!$B$9)/(0.1-0.015000000000000001)/(1+0.1)^5-'DCF_ADBE'!$B$13)/'DCF_ADBE'!$B$12)</f>
        <v>234.0092882032049</v>
      </c>
      <c r="D5" s="7">
        <f>((('DCF_ADBE'!$B$3*(1+'DCF_ADBE'!$B$4)^1*('DCF_ADBE'!$B$5*(1-'DCF_ADBE'!$B$6)+'DCF_ADBE'!$B$7-'DCF_ADBE'!$B$8)-'DCF_ADBE'!$B$3*(1+'DCF_ADBE'!$B$4)^0*'DCF_ADBE'!$B$4*'DCF_ADBE'!$B$9)/(1+0.1)^1+('DCF_ADBE'!$B$3*(1+'DCF_ADBE'!$B$4)^2*('DCF_ADBE'!$B$5*(1-'DCF_ADBE'!$B$6)+'DCF_ADBE'!$B$7-'DCF_ADBE'!$B$8)-'DCF_ADBE'!$B$3*(1+'DCF_ADBE'!$B$4)^1*'DCF_ADBE'!$B$4*'DCF_ADBE'!$B$9)/(1+0.1)^2+('DCF_ADBE'!$B$3*(1+'DCF_ADBE'!$B$4)^3*('DCF_ADBE'!$B$5*(1-'DCF_ADBE'!$B$6)+'DCF_ADBE'!$B$7-'DCF_ADBE'!$B$8)-'DCF_ADBE'!$B$3*(1+'DCF_ADBE'!$B$4)^2*'DCF_ADBE'!$B$4*'DCF_ADBE'!$B$9)/(1+0.1)^3+('DCF_ADBE'!$B$3*(1+'DCF_ADBE'!$B$4)^4*('DCF_ADBE'!$B$5*(1-'DCF_ADBE'!$B$6)+'DCF_ADBE'!$B$7-'DCF_ADBE'!$B$8)-'DCF_ADBE'!$B$3*(1+'DCF_ADBE'!$B$4)^3*'DCF_ADBE'!$B$4*'DCF_ADBE'!$B$9)/(1+0.1)^4+('DCF_ADBE'!$B$3*(1+'DCF_ADBE'!$B$4)^5*('DCF_ADBE'!$B$5*(1-'DCF_ADBE'!$B$6)+'DCF_ADBE'!$B$7-'DCF_ADBE'!$B$8)-'DCF_ADBE'!$B$3*(1+'DCF_ADBE'!$B$4)^4*'DCF_ADBE'!$B$4*'DCF_ADBE'!$B$9)/(1+0.1)^5+('DCF_ADBE'!$B$3*(1+'DCF_ADBE'!$B$4)^5*(1+0.02)*('DCF_ADBE'!$B$5*(1-'DCF_ADBE'!$B$6)+'DCF_ADBE'!$B$7-'DCF_ADBE'!$B$8)-'DCF_ADBE'!$B$3*(1+'DCF_ADBE'!$B$4)^5*0.02*'DCF_ADBE'!$B$9)/(0.1-0.02)/(1+0.1)^5-'DCF_ADBE'!$B$13)/'DCF_ADBE'!$B$12)</f>
        <v>244.88103750626254</v>
      </c>
      <c r="E5" s="7">
        <f>((('DCF_ADBE'!$B$3*(1+'DCF_ADBE'!$B$4)^1*('DCF_ADBE'!$B$5*(1-'DCF_ADBE'!$B$6)+'DCF_ADBE'!$B$7-'DCF_ADBE'!$B$8)-'DCF_ADBE'!$B$3*(1+'DCF_ADBE'!$B$4)^0*'DCF_ADBE'!$B$4*'DCF_ADBE'!$B$9)/(1+0.1)^1+('DCF_ADBE'!$B$3*(1+'DCF_ADBE'!$B$4)^2*('DCF_ADBE'!$B$5*(1-'DCF_ADBE'!$B$6)+'DCF_ADBE'!$B$7-'DCF_ADBE'!$B$8)-'DCF_ADBE'!$B$3*(1+'DCF_ADBE'!$B$4)^1*'DCF_ADBE'!$B$4*'DCF_ADBE'!$B$9)/(1+0.1)^2+('DCF_ADBE'!$B$3*(1+'DCF_ADBE'!$B$4)^3*('DCF_ADBE'!$B$5*(1-'DCF_ADBE'!$B$6)+'DCF_ADBE'!$B$7-'DCF_ADBE'!$B$8)-'DCF_ADBE'!$B$3*(1+'DCF_ADBE'!$B$4)^2*'DCF_ADBE'!$B$4*'DCF_ADBE'!$B$9)/(1+0.1)^3+('DCF_ADBE'!$B$3*(1+'DCF_ADBE'!$B$4)^4*('DCF_ADBE'!$B$5*(1-'DCF_ADBE'!$B$6)+'DCF_ADBE'!$B$7-'DCF_ADBE'!$B$8)-'DCF_ADBE'!$B$3*(1+'DCF_ADBE'!$B$4)^3*'DCF_ADBE'!$B$4*'DCF_ADBE'!$B$9)/(1+0.1)^4+('DCF_ADBE'!$B$3*(1+'DCF_ADBE'!$B$4)^5*('DCF_ADBE'!$B$5*(1-'DCF_ADBE'!$B$6)+'DCF_ADBE'!$B$7-'DCF_ADBE'!$B$8)-'DCF_ADBE'!$B$3*(1+'DCF_ADBE'!$B$4)^4*'DCF_ADBE'!$B$4*'DCF_ADBE'!$B$9)/(1+0.1)^5+('DCF_ADBE'!$B$3*(1+'DCF_ADBE'!$B$4)^5*(1+0.025)*('DCF_ADBE'!$B$5*(1-'DCF_ADBE'!$B$6)+'DCF_ADBE'!$B$7-'DCF_ADBE'!$B$8)-'DCF_ADBE'!$B$3*(1+'DCF_ADBE'!$B$4)^5*0.025*'DCF_ADBE'!$B$9)/(0.1-0.025)/(1+0.1)^5-'DCF_ADBE'!$B$13)/'DCF_ADBE'!$B$12)</f>
        <v>257.2023533830612</v>
      </c>
      <c r="F5" s="7">
        <f>((('DCF_ADBE'!$B$3*(1+'DCF_ADBE'!$B$4)^1*('DCF_ADBE'!$B$5*(1-'DCF_ADBE'!$B$6)+'DCF_ADBE'!$B$7-'DCF_ADBE'!$B$8)-'DCF_ADBE'!$B$3*(1+'DCF_ADBE'!$B$4)^0*'DCF_ADBE'!$B$4*'DCF_ADBE'!$B$9)/(1+0.1)^1+('DCF_ADBE'!$B$3*(1+'DCF_ADBE'!$B$4)^2*('DCF_ADBE'!$B$5*(1-'DCF_ADBE'!$B$6)+'DCF_ADBE'!$B$7-'DCF_ADBE'!$B$8)-'DCF_ADBE'!$B$3*(1+'DCF_ADBE'!$B$4)^1*'DCF_ADBE'!$B$4*'DCF_ADBE'!$B$9)/(1+0.1)^2+('DCF_ADBE'!$B$3*(1+'DCF_ADBE'!$B$4)^3*('DCF_ADBE'!$B$5*(1-'DCF_ADBE'!$B$6)+'DCF_ADBE'!$B$7-'DCF_ADBE'!$B$8)-'DCF_ADBE'!$B$3*(1+'DCF_ADBE'!$B$4)^2*'DCF_ADBE'!$B$4*'DCF_ADBE'!$B$9)/(1+0.1)^3+('DCF_ADBE'!$B$3*(1+'DCF_ADBE'!$B$4)^4*('DCF_ADBE'!$B$5*(1-'DCF_ADBE'!$B$6)+'DCF_ADBE'!$B$7-'DCF_ADBE'!$B$8)-'DCF_ADBE'!$B$3*(1+'DCF_ADBE'!$B$4)^3*'DCF_ADBE'!$B$4*'DCF_ADBE'!$B$9)/(1+0.1)^4+('DCF_ADBE'!$B$3*(1+'DCF_ADBE'!$B$4)^5*('DCF_ADBE'!$B$5*(1-'DCF_ADBE'!$B$6)+'DCF_ADBE'!$B$7-'DCF_ADBE'!$B$8)-'DCF_ADBE'!$B$3*(1+'DCF_ADBE'!$B$4)^4*'DCF_ADBE'!$B$4*'DCF_ADBE'!$B$9)/(1+0.1)^5+('DCF_ADBE'!$B$3*(1+'DCF_ADBE'!$B$4)^5*(1+0.030000000000000002)*('DCF_ADBE'!$B$5*(1-'DCF_ADBE'!$B$6)+'DCF_ADBE'!$B$7-'DCF_ADBE'!$B$8)-'DCF_ADBE'!$B$3*(1+'DCF_ADBE'!$B$4)^5*0.030000000000000002*'DCF_ADBE'!$B$9)/(0.1-0.030000000000000002)/(1+0.1)^5-'DCF_ADBE'!$B$13)/'DCF_ADBE'!$B$12)</f>
        <v>271.2838572422597</v>
      </c>
      <c r="G5" s="7">
        <f>((('DCF_ADBE'!$B$3*(1+'DCF_ADBE'!$B$4)^1*('DCF_ADBE'!$B$5*(1-'DCF_ADBE'!$B$6)+'DCF_ADBE'!$B$7-'DCF_ADBE'!$B$8)-'DCF_ADBE'!$B$3*(1+'DCF_ADBE'!$B$4)^0*'DCF_ADBE'!$B$4*'DCF_ADBE'!$B$9)/(1+0.1)^1+('DCF_ADBE'!$B$3*(1+'DCF_ADBE'!$B$4)^2*('DCF_ADBE'!$B$5*(1-'DCF_ADBE'!$B$6)+'DCF_ADBE'!$B$7-'DCF_ADBE'!$B$8)-'DCF_ADBE'!$B$3*(1+'DCF_ADBE'!$B$4)^1*'DCF_ADBE'!$B$4*'DCF_ADBE'!$B$9)/(1+0.1)^2+('DCF_ADBE'!$B$3*(1+'DCF_ADBE'!$B$4)^3*('DCF_ADBE'!$B$5*(1-'DCF_ADBE'!$B$6)+'DCF_ADBE'!$B$7-'DCF_ADBE'!$B$8)-'DCF_ADBE'!$B$3*(1+'DCF_ADBE'!$B$4)^2*'DCF_ADBE'!$B$4*'DCF_ADBE'!$B$9)/(1+0.1)^3+('DCF_ADBE'!$B$3*(1+'DCF_ADBE'!$B$4)^4*('DCF_ADBE'!$B$5*(1-'DCF_ADBE'!$B$6)+'DCF_ADBE'!$B$7-'DCF_ADBE'!$B$8)-'DCF_ADBE'!$B$3*(1+'DCF_ADBE'!$B$4)^3*'DCF_ADBE'!$B$4*'DCF_ADBE'!$B$9)/(1+0.1)^4+('DCF_ADBE'!$B$3*(1+'DCF_ADBE'!$B$4)^5*('DCF_ADBE'!$B$5*(1-'DCF_ADBE'!$B$6)+'DCF_ADBE'!$B$7-'DCF_ADBE'!$B$8)-'DCF_ADBE'!$B$3*(1+'DCF_ADBE'!$B$4)^4*'DCF_ADBE'!$B$4*'DCF_ADBE'!$B$9)/(1+0.1)^5+('DCF_ADBE'!$B$3*(1+'DCF_ADBE'!$B$4)^5*(1+0.035)*('DCF_ADBE'!$B$5*(1-'DCF_ADBE'!$B$6)+'DCF_ADBE'!$B$7-'DCF_ADBE'!$B$8)-'DCF_ADBE'!$B$3*(1+'DCF_ADBE'!$B$4)^5*0.035*'DCF_ADBE'!$B$9)/(0.1-0.035)/(1+0.1)^5-'DCF_ADBE'!$B$13)/'DCF_ADBE'!$B$12)</f>
        <v>287.53174631056567</v>
      </c>
    </row>
    <row r="6" spans="1:7" x14ac:dyDescent="0.25">
      <c r="A6" s="4" t="s">
        <v>54</v>
      </c>
      <c r="B6" s="5">
        <v>0.10500000000000001</v>
      </c>
      <c r="C6" s="7">
        <f>((('DCF_ADBE'!$B$3*(1+'DCF_ADBE'!$B$4)^1*('DCF_ADBE'!$B$5*(1-'DCF_ADBE'!$B$6)+'DCF_ADBE'!$B$7-'DCF_ADBE'!$B$8)-'DCF_ADBE'!$B$3*(1+'DCF_ADBE'!$B$4)^0*'DCF_ADBE'!$B$4*'DCF_ADBE'!$B$9)/(1+0.10500000000000001)^1+('DCF_ADBE'!$B$3*(1+'DCF_ADBE'!$B$4)^2*('DCF_ADBE'!$B$5*(1-'DCF_ADBE'!$B$6)+'DCF_ADBE'!$B$7-'DCF_ADBE'!$B$8)-'DCF_ADBE'!$B$3*(1+'DCF_ADBE'!$B$4)^1*'DCF_ADBE'!$B$4*'DCF_ADBE'!$B$9)/(1+0.10500000000000001)^2+('DCF_ADBE'!$B$3*(1+'DCF_ADBE'!$B$4)^3*('DCF_ADBE'!$B$5*(1-'DCF_ADBE'!$B$6)+'DCF_ADBE'!$B$7-'DCF_ADBE'!$B$8)-'DCF_ADBE'!$B$3*(1+'DCF_ADBE'!$B$4)^2*'DCF_ADBE'!$B$4*'DCF_ADBE'!$B$9)/(1+0.10500000000000001)^3+('DCF_ADBE'!$B$3*(1+'DCF_ADBE'!$B$4)^4*('DCF_ADBE'!$B$5*(1-'DCF_ADBE'!$B$6)+'DCF_ADBE'!$B$7-'DCF_ADBE'!$B$8)-'DCF_ADBE'!$B$3*(1+'DCF_ADBE'!$B$4)^3*'DCF_ADBE'!$B$4*'DCF_ADBE'!$B$9)/(1+0.10500000000000001)^4+('DCF_ADBE'!$B$3*(1+'DCF_ADBE'!$B$4)^5*('DCF_ADBE'!$B$5*(1-'DCF_ADBE'!$B$6)+'DCF_ADBE'!$B$7-'DCF_ADBE'!$B$8)-'DCF_ADBE'!$B$3*(1+'DCF_ADBE'!$B$4)^4*'DCF_ADBE'!$B$4*'DCF_ADBE'!$B$9)/(1+0.10500000000000001)^5+('DCF_ADBE'!$B$3*(1+'DCF_ADBE'!$B$4)^5*(1+0.015000000000000001)*('DCF_ADBE'!$B$5*(1-'DCF_ADBE'!$B$6)+'DCF_ADBE'!$B$7-'DCF_ADBE'!$B$8)-'DCF_ADBE'!$B$3*(1+'DCF_ADBE'!$B$4)^5*0.015000000000000001*'DCF_ADBE'!$B$9)/(0.10500000000000001-0.015000000000000001)/(1+0.10500000000000001)^5-'DCF_ADBE'!$B$13)/'DCF_ADBE'!$B$12)</f>
        <v>220.6479420316022</v>
      </c>
      <c r="D6" s="7">
        <f>((('DCF_ADBE'!$B$3*(1+'DCF_ADBE'!$B$4)^1*('DCF_ADBE'!$B$5*(1-'DCF_ADBE'!$B$6)+'DCF_ADBE'!$B$7-'DCF_ADBE'!$B$8)-'DCF_ADBE'!$B$3*(1+'DCF_ADBE'!$B$4)^0*'DCF_ADBE'!$B$4*'DCF_ADBE'!$B$9)/(1+0.10500000000000001)^1+('DCF_ADBE'!$B$3*(1+'DCF_ADBE'!$B$4)^2*('DCF_ADBE'!$B$5*(1-'DCF_ADBE'!$B$6)+'DCF_ADBE'!$B$7-'DCF_ADBE'!$B$8)-'DCF_ADBE'!$B$3*(1+'DCF_ADBE'!$B$4)^1*'DCF_ADBE'!$B$4*'DCF_ADBE'!$B$9)/(1+0.10500000000000001)^2+('DCF_ADBE'!$B$3*(1+'DCF_ADBE'!$B$4)^3*('DCF_ADBE'!$B$5*(1-'DCF_ADBE'!$B$6)+'DCF_ADBE'!$B$7-'DCF_ADBE'!$B$8)-'DCF_ADBE'!$B$3*(1+'DCF_ADBE'!$B$4)^2*'DCF_ADBE'!$B$4*'DCF_ADBE'!$B$9)/(1+0.10500000000000001)^3+('DCF_ADBE'!$B$3*(1+'DCF_ADBE'!$B$4)^4*('DCF_ADBE'!$B$5*(1-'DCF_ADBE'!$B$6)+'DCF_ADBE'!$B$7-'DCF_ADBE'!$B$8)-'DCF_ADBE'!$B$3*(1+'DCF_ADBE'!$B$4)^3*'DCF_ADBE'!$B$4*'DCF_ADBE'!$B$9)/(1+0.10500000000000001)^4+('DCF_ADBE'!$B$3*(1+'DCF_ADBE'!$B$4)^5*('DCF_ADBE'!$B$5*(1-'DCF_ADBE'!$B$6)+'DCF_ADBE'!$B$7-'DCF_ADBE'!$B$8)-'DCF_ADBE'!$B$3*(1+'DCF_ADBE'!$B$4)^4*'DCF_ADBE'!$B$4*'DCF_ADBE'!$B$9)/(1+0.10500000000000001)^5+('DCF_ADBE'!$B$3*(1+'DCF_ADBE'!$B$4)^5*(1+0.02)*('DCF_ADBE'!$B$5*(1-'DCF_ADBE'!$B$6)+'DCF_ADBE'!$B$7-'DCF_ADBE'!$B$8)-'DCF_ADBE'!$B$3*(1+'DCF_ADBE'!$B$4)^5*0.02*'DCF_ADBE'!$B$9)/(0.10500000000000001-0.02)/(1+0.10500000000000001)^5-'DCF_ADBE'!$B$13)/'DCF_ADBE'!$B$12)</f>
        <v>230.13376904593602</v>
      </c>
      <c r="E6" s="7">
        <f>((('DCF_ADBE'!$B$3*(1+'DCF_ADBE'!$B$4)^1*('DCF_ADBE'!$B$5*(1-'DCF_ADBE'!$B$6)+'DCF_ADBE'!$B$7-'DCF_ADBE'!$B$8)-'DCF_ADBE'!$B$3*(1+'DCF_ADBE'!$B$4)^0*'DCF_ADBE'!$B$4*'DCF_ADBE'!$B$9)/(1+0.10500000000000001)^1+('DCF_ADBE'!$B$3*(1+'DCF_ADBE'!$B$4)^2*('DCF_ADBE'!$B$5*(1-'DCF_ADBE'!$B$6)+'DCF_ADBE'!$B$7-'DCF_ADBE'!$B$8)-'DCF_ADBE'!$B$3*(1+'DCF_ADBE'!$B$4)^1*'DCF_ADBE'!$B$4*'DCF_ADBE'!$B$9)/(1+0.10500000000000001)^2+('DCF_ADBE'!$B$3*(1+'DCF_ADBE'!$B$4)^3*('DCF_ADBE'!$B$5*(1-'DCF_ADBE'!$B$6)+'DCF_ADBE'!$B$7-'DCF_ADBE'!$B$8)-'DCF_ADBE'!$B$3*(1+'DCF_ADBE'!$B$4)^2*'DCF_ADBE'!$B$4*'DCF_ADBE'!$B$9)/(1+0.10500000000000001)^3+('DCF_ADBE'!$B$3*(1+'DCF_ADBE'!$B$4)^4*('DCF_ADBE'!$B$5*(1-'DCF_ADBE'!$B$6)+'DCF_ADBE'!$B$7-'DCF_ADBE'!$B$8)-'DCF_ADBE'!$B$3*(1+'DCF_ADBE'!$B$4)^3*'DCF_ADBE'!$B$4*'DCF_ADBE'!$B$9)/(1+0.10500000000000001)^4+('DCF_ADBE'!$B$3*(1+'DCF_ADBE'!$B$4)^5*('DCF_ADBE'!$B$5*(1-'DCF_ADBE'!$B$6)+'DCF_ADBE'!$B$7-'DCF_ADBE'!$B$8)-'DCF_ADBE'!$B$3*(1+'DCF_ADBE'!$B$4)^4*'DCF_ADBE'!$B$4*'DCF_ADBE'!$B$9)/(1+0.10500000000000001)^5+('DCF_ADBE'!$B$3*(1+'DCF_ADBE'!$B$4)^5*(1+0.025)*('DCF_ADBE'!$B$5*(1-'DCF_ADBE'!$B$6)+'DCF_ADBE'!$B$7-'DCF_ADBE'!$B$8)-'DCF_ADBE'!$B$3*(1+'DCF_ADBE'!$B$4)^5*0.025*'DCF_ADBE'!$B$9)/(0.10500000000000001-0.025)/(1+0.10500000000000001)^5-'DCF_ADBE'!$B$13)/'DCF_ADBE'!$B$12)</f>
        <v>240.80532443706156</v>
      </c>
      <c r="F6" s="7">
        <f>((('DCF_ADBE'!$B$3*(1+'DCF_ADBE'!$B$4)^1*('DCF_ADBE'!$B$5*(1-'DCF_ADBE'!$B$6)+'DCF_ADBE'!$B$7-'DCF_ADBE'!$B$8)-'DCF_ADBE'!$B$3*(1+'DCF_ADBE'!$B$4)^0*'DCF_ADBE'!$B$4*'DCF_ADBE'!$B$9)/(1+0.10500000000000001)^1+('DCF_ADBE'!$B$3*(1+'DCF_ADBE'!$B$4)^2*('DCF_ADBE'!$B$5*(1-'DCF_ADBE'!$B$6)+'DCF_ADBE'!$B$7-'DCF_ADBE'!$B$8)-'DCF_ADBE'!$B$3*(1+'DCF_ADBE'!$B$4)^1*'DCF_ADBE'!$B$4*'DCF_ADBE'!$B$9)/(1+0.10500000000000001)^2+('DCF_ADBE'!$B$3*(1+'DCF_ADBE'!$B$4)^3*('DCF_ADBE'!$B$5*(1-'DCF_ADBE'!$B$6)+'DCF_ADBE'!$B$7-'DCF_ADBE'!$B$8)-'DCF_ADBE'!$B$3*(1+'DCF_ADBE'!$B$4)^2*'DCF_ADBE'!$B$4*'DCF_ADBE'!$B$9)/(1+0.10500000000000001)^3+('DCF_ADBE'!$B$3*(1+'DCF_ADBE'!$B$4)^4*('DCF_ADBE'!$B$5*(1-'DCF_ADBE'!$B$6)+'DCF_ADBE'!$B$7-'DCF_ADBE'!$B$8)-'DCF_ADBE'!$B$3*(1+'DCF_ADBE'!$B$4)^3*'DCF_ADBE'!$B$4*'DCF_ADBE'!$B$9)/(1+0.10500000000000001)^4+('DCF_ADBE'!$B$3*(1+'DCF_ADBE'!$B$4)^5*('DCF_ADBE'!$B$5*(1-'DCF_ADBE'!$B$6)+'DCF_ADBE'!$B$7-'DCF_ADBE'!$B$8)-'DCF_ADBE'!$B$3*(1+'DCF_ADBE'!$B$4)^4*'DCF_ADBE'!$B$4*'DCF_ADBE'!$B$9)/(1+0.10500000000000001)^5+('DCF_ADBE'!$B$3*(1+'DCF_ADBE'!$B$4)^5*(1+0.030000000000000002)*('DCF_ADBE'!$B$5*(1-'DCF_ADBE'!$B$6)+'DCF_ADBE'!$B$7-'DCF_ADBE'!$B$8)-'DCF_ADBE'!$B$3*(1+'DCF_ADBE'!$B$4)^5*0.030000000000000002*'DCF_ADBE'!$B$9)/(0.10500000000000001-0.030000000000000002)/(1+0.10500000000000001)^5-'DCF_ADBE'!$B$13)/'DCF_ADBE'!$B$12)</f>
        <v>252.8997538803372</v>
      </c>
      <c r="G6" s="7">
        <f>((('DCF_ADBE'!$B$3*(1+'DCF_ADBE'!$B$4)^1*('DCF_ADBE'!$B$5*(1-'DCF_ADBE'!$B$6)+'DCF_ADBE'!$B$7-'DCF_ADBE'!$B$8)-'DCF_ADBE'!$B$3*(1+'DCF_ADBE'!$B$4)^0*'DCF_ADBE'!$B$4*'DCF_ADBE'!$B$9)/(1+0.10500000000000001)^1+('DCF_ADBE'!$B$3*(1+'DCF_ADBE'!$B$4)^2*('DCF_ADBE'!$B$5*(1-'DCF_ADBE'!$B$6)+'DCF_ADBE'!$B$7-'DCF_ADBE'!$B$8)-'DCF_ADBE'!$B$3*(1+'DCF_ADBE'!$B$4)^1*'DCF_ADBE'!$B$4*'DCF_ADBE'!$B$9)/(1+0.10500000000000001)^2+('DCF_ADBE'!$B$3*(1+'DCF_ADBE'!$B$4)^3*('DCF_ADBE'!$B$5*(1-'DCF_ADBE'!$B$6)+'DCF_ADBE'!$B$7-'DCF_ADBE'!$B$8)-'DCF_ADBE'!$B$3*(1+'DCF_ADBE'!$B$4)^2*'DCF_ADBE'!$B$4*'DCF_ADBE'!$B$9)/(1+0.10500000000000001)^3+('DCF_ADBE'!$B$3*(1+'DCF_ADBE'!$B$4)^4*('DCF_ADBE'!$B$5*(1-'DCF_ADBE'!$B$6)+'DCF_ADBE'!$B$7-'DCF_ADBE'!$B$8)-'DCF_ADBE'!$B$3*(1+'DCF_ADBE'!$B$4)^3*'DCF_ADBE'!$B$4*'DCF_ADBE'!$B$9)/(1+0.10500000000000001)^4+('DCF_ADBE'!$B$3*(1+'DCF_ADBE'!$B$4)^5*('DCF_ADBE'!$B$5*(1-'DCF_ADBE'!$B$6)+'DCF_ADBE'!$B$7-'DCF_ADBE'!$B$8)-'DCF_ADBE'!$B$3*(1+'DCF_ADBE'!$B$4)^4*'DCF_ADBE'!$B$4*'DCF_ADBE'!$B$9)/(1+0.10500000000000001)^5+('DCF_ADBE'!$B$3*(1+'DCF_ADBE'!$B$4)^5*(1+0.035)*('DCF_ADBE'!$B$5*(1-'DCF_ADBE'!$B$6)+'DCF_ADBE'!$B$7-'DCF_ADBE'!$B$8)-'DCF_ADBE'!$B$3*(1+'DCF_ADBE'!$B$4)^5*0.035*'DCF_ADBE'!$B$9)/(0.10500000000000001-0.035)/(1+0.10500000000000001)^5-'DCF_ADBE'!$B$13)/'DCF_ADBE'!$B$12)</f>
        <v>266.7219589583665</v>
      </c>
    </row>
    <row r="7" spans="1:7" x14ac:dyDescent="0.25">
      <c r="A7" s="4" t="s">
        <v>54</v>
      </c>
      <c r="B7" s="5">
        <v>0.11</v>
      </c>
      <c r="C7" s="7">
        <f>((('DCF_ADBE'!$B$3*(1+'DCF_ADBE'!$B$4)^1*('DCF_ADBE'!$B$5*(1-'DCF_ADBE'!$B$6)+'DCF_ADBE'!$B$7-'DCF_ADBE'!$B$8)-'DCF_ADBE'!$B$3*(1+'DCF_ADBE'!$B$4)^0*'DCF_ADBE'!$B$4*'DCF_ADBE'!$B$9)/(1+0.11)^1+('DCF_ADBE'!$B$3*(1+'DCF_ADBE'!$B$4)^2*('DCF_ADBE'!$B$5*(1-'DCF_ADBE'!$B$6)+'DCF_ADBE'!$B$7-'DCF_ADBE'!$B$8)-'DCF_ADBE'!$B$3*(1+'DCF_ADBE'!$B$4)^1*'DCF_ADBE'!$B$4*'DCF_ADBE'!$B$9)/(1+0.11)^2+('DCF_ADBE'!$B$3*(1+'DCF_ADBE'!$B$4)^3*('DCF_ADBE'!$B$5*(1-'DCF_ADBE'!$B$6)+'DCF_ADBE'!$B$7-'DCF_ADBE'!$B$8)-'DCF_ADBE'!$B$3*(1+'DCF_ADBE'!$B$4)^2*'DCF_ADBE'!$B$4*'DCF_ADBE'!$B$9)/(1+0.11)^3+('DCF_ADBE'!$B$3*(1+'DCF_ADBE'!$B$4)^4*('DCF_ADBE'!$B$5*(1-'DCF_ADBE'!$B$6)+'DCF_ADBE'!$B$7-'DCF_ADBE'!$B$8)-'DCF_ADBE'!$B$3*(1+'DCF_ADBE'!$B$4)^3*'DCF_ADBE'!$B$4*'DCF_ADBE'!$B$9)/(1+0.11)^4+('DCF_ADBE'!$B$3*(1+'DCF_ADBE'!$B$4)^5*('DCF_ADBE'!$B$5*(1-'DCF_ADBE'!$B$6)+'DCF_ADBE'!$B$7-'DCF_ADBE'!$B$8)-'DCF_ADBE'!$B$3*(1+'DCF_ADBE'!$B$4)^4*'DCF_ADBE'!$B$4*'DCF_ADBE'!$B$9)/(1+0.11)^5+('DCF_ADBE'!$B$3*(1+'DCF_ADBE'!$B$4)^5*(1+0.015000000000000001)*('DCF_ADBE'!$B$5*(1-'DCF_ADBE'!$B$6)+'DCF_ADBE'!$B$7-'DCF_ADBE'!$B$8)-'DCF_ADBE'!$B$3*(1+'DCF_ADBE'!$B$4)^5*0.015000000000000001*'DCF_ADBE'!$B$9)/(0.11-0.015000000000000001)/(1+0.11)^5-'DCF_ADBE'!$B$13)/'DCF_ADBE'!$B$12)</f>
        <v>208.7001385266476</v>
      </c>
      <c r="D7" s="7">
        <f>((('DCF_ADBE'!$B$3*(1+'DCF_ADBE'!$B$4)^1*('DCF_ADBE'!$B$5*(1-'DCF_ADBE'!$B$6)+'DCF_ADBE'!$B$7-'DCF_ADBE'!$B$8)-'DCF_ADBE'!$B$3*(1+'DCF_ADBE'!$B$4)^0*'DCF_ADBE'!$B$4*'DCF_ADBE'!$B$9)/(1+0.11)^1+('DCF_ADBE'!$B$3*(1+'DCF_ADBE'!$B$4)^2*('DCF_ADBE'!$B$5*(1-'DCF_ADBE'!$B$6)+'DCF_ADBE'!$B$7-'DCF_ADBE'!$B$8)-'DCF_ADBE'!$B$3*(1+'DCF_ADBE'!$B$4)^1*'DCF_ADBE'!$B$4*'DCF_ADBE'!$B$9)/(1+0.11)^2+('DCF_ADBE'!$B$3*(1+'DCF_ADBE'!$B$4)^3*('DCF_ADBE'!$B$5*(1-'DCF_ADBE'!$B$6)+'DCF_ADBE'!$B$7-'DCF_ADBE'!$B$8)-'DCF_ADBE'!$B$3*(1+'DCF_ADBE'!$B$4)^2*'DCF_ADBE'!$B$4*'DCF_ADBE'!$B$9)/(1+0.11)^3+('DCF_ADBE'!$B$3*(1+'DCF_ADBE'!$B$4)^4*('DCF_ADBE'!$B$5*(1-'DCF_ADBE'!$B$6)+'DCF_ADBE'!$B$7-'DCF_ADBE'!$B$8)-'DCF_ADBE'!$B$3*(1+'DCF_ADBE'!$B$4)^3*'DCF_ADBE'!$B$4*'DCF_ADBE'!$B$9)/(1+0.11)^4+('DCF_ADBE'!$B$3*(1+'DCF_ADBE'!$B$4)^5*('DCF_ADBE'!$B$5*(1-'DCF_ADBE'!$B$6)+'DCF_ADBE'!$B$7-'DCF_ADBE'!$B$8)-'DCF_ADBE'!$B$3*(1+'DCF_ADBE'!$B$4)^4*'DCF_ADBE'!$B$4*'DCF_ADBE'!$B$9)/(1+0.11)^5+('DCF_ADBE'!$B$3*(1+'DCF_ADBE'!$B$4)^5*(1+0.02)*('DCF_ADBE'!$B$5*(1-'DCF_ADBE'!$B$6)+'DCF_ADBE'!$B$7-'DCF_ADBE'!$B$8)-'DCF_ADBE'!$B$3*(1+'DCF_ADBE'!$B$4)^5*0.02*'DCF_ADBE'!$B$9)/(0.11-0.02)/(1+0.11)^5-'DCF_ADBE'!$B$13)/'DCF_ADBE'!$B$12)</f>
        <v>217.03188487529766</v>
      </c>
      <c r="E7" s="7">
        <f>((('DCF_ADBE'!$B$3*(1+'DCF_ADBE'!$B$4)^1*('DCF_ADBE'!$B$5*(1-'DCF_ADBE'!$B$6)+'DCF_ADBE'!$B$7-'DCF_ADBE'!$B$8)-'DCF_ADBE'!$B$3*(1+'DCF_ADBE'!$B$4)^0*'DCF_ADBE'!$B$4*'DCF_ADBE'!$B$9)/(1+0.11)^1+('DCF_ADBE'!$B$3*(1+'DCF_ADBE'!$B$4)^2*('DCF_ADBE'!$B$5*(1-'DCF_ADBE'!$B$6)+'DCF_ADBE'!$B$7-'DCF_ADBE'!$B$8)-'DCF_ADBE'!$B$3*(1+'DCF_ADBE'!$B$4)^1*'DCF_ADBE'!$B$4*'DCF_ADBE'!$B$9)/(1+0.11)^2+('DCF_ADBE'!$B$3*(1+'DCF_ADBE'!$B$4)^3*('DCF_ADBE'!$B$5*(1-'DCF_ADBE'!$B$6)+'DCF_ADBE'!$B$7-'DCF_ADBE'!$B$8)-'DCF_ADBE'!$B$3*(1+'DCF_ADBE'!$B$4)^2*'DCF_ADBE'!$B$4*'DCF_ADBE'!$B$9)/(1+0.11)^3+('DCF_ADBE'!$B$3*(1+'DCF_ADBE'!$B$4)^4*('DCF_ADBE'!$B$5*(1-'DCF_ADBE'!$B$6)+'DCF_ADBE'!$B$7-'DCF_ADBE'!$B$8)-'DCF_ADBE'!$B$3*(1+'DCF_ADBE'!$B$4)^3*'DCF_ADBE'!$B$4*'DCF_ADBE'!$B$9)/(1+0.11)^4+('DCF_ADBE'!$B$3*(1+'DCF_ADBE'!$B$4)^5*('DCF_ADBE'!$B$5*(1-'DCF_ADBE'!$B$6)+'DCF_ADBE'!$B$7-'DCF_ADBE'!$B$8)-'DCF_ADBE'!$B$3*(1+'DCF_ADBE'!$B$4)^4*'DCF_ADBE'!$B$4*'DCF_ADBE'!$B$9)/(1+0.11)^5+('DCF_ADBE'!$B$3*(1+'DCF_ADBE'!$B$4)^5*(1+0.025)*('DCF_ADBE'!$B$5*(1-'DCF_ADBE'!$B$6)+'DCF_ADBE'!$B$7-'DCF_ADBE'!$B$8)-'DCF_ADBE'!$B$3*(1+'DCF_ADBE'!$B$4)^5*0.025*'DCF_ADBE'!$B$9)/(0.11-0.025)/(1+0.11)^5-'DCF_ADBE'!$B$13)/'DCF_ADBE'!$B$12)</f>
        <v>226.34383667673015</v>
      </c>
      <c r="F7" s="7">
        <f>((('DCF_ADBE'!$B$3*(1+'DCF_ADBE'!$B$4)^1*('DCF_ADBE'!$B$5*(1-'DCF_ADBE'!$B$6)+'DCF_ADBE'!$B$7-'DCF_ADBE'!$B$8)-'DCF_ADBE'!$B$3*(1+'DCF_ADBE'!$B$4)^0*'DCF_ADBE'!$B$4*'DCF_ADBE'!$B$9)/(1+0.11)^1+('DCF_ADBE'!$B$3*(1+'DCF_ADBE'!$B$4)^2*('DCF_ADBE'!$B$5*(1-'DCF_ADBE'!$B$6)+'DCF_ADBE'!$B$7-'DCF_ADBE'!$B$8)-'DCF_ADBE'!$B$3*(1+'DCF_ADBE'!$B$4)^1*'DCF_ADBE'!$B$4*'DCF_ADBE'!$B$9)/(1+0.11)^2+('DCF_ADBE'!$B$3*(1+'DCF_ADBE'!$B$4)^3*('DCF_ADBE'!$B$5*(1-'DCF_ADBE'!$B$6)+'DCF_ADBE'!$B$7-'DCF_ADBE'!$B$8)-'DCF_ADBE'!$B$3*(1+'DCF_ADBE'!$B$4)^2*'DCF_ADBE'!$B$4*'DCF_ADBE'!$B$9)/(1+0.11)^3+('DCF_ADBE'!$B$3*(1+'DCF_ADBE'!$B$4)^4*('DCF_ADBE'!$B$5*(1-'DCF_ADBE'!$B$6)+'DCF_ADBE'!$B$7-'DCF_ADBE'!$B$8)-'DCF_ADBE'!$B$3*(1+'DCF_ADBE'!$B$4)^3*'DCF_ADBE'!$B$4*'DCF_ADBE'!$B$9)/(1+0.11)^4+('DCF_ADBE'!$B$3*(1+'DCF_ADBE'!$B$4)^5*('DCF_ADBE'!$B$5*(1-'DCF_ADBE'!$B$6)+'DCF_ADBE'!$B$7-'DCF_ADBE'!$B$8)-'DCF_ADBE'!$B$3*(1+'DCF_ADBE'!$B$4)^4*'DCF_ADBE'!$B$4*'DCF_ADBE'!$B$9)/(1+0.11)^5+('DCF_ADBE'!$B$3*(1+'DCF_ADBE'!$B$4)^5*(1+0.030000000000000002)*('DCF_ADBE'!$B$5*(1-'DCF_ADBE'!$B$6)+'DCF_ADBE'!$B$7-'DCF_ADBE'!$B$8)-'DCF_ADBE'!$B$3*(1+'DCF_ADBE'!$B$4)^5*0.030000000000000002*'DCF_ADBE'!$B$9)/(0.11-0.030000000000000002)/(1+0.11)^5-'DCF_ADBE'!$B$13)/'DCF_ADBE'!$B$12)</f>
        <v>236.81978245334165</v>
      </c>
      <c r="G7" s="7">
        <f>((('DCF_ADBE'!$B$3*(1+'DCF_ADBE'!$B$4)^1*('DCF_ADBE'!$B$5*(1-'DCF_ADBE'!$B$6)+'DCF_ADBE'!$B$7-'DCF_ADBE'!$B$8)-'DCF_ADBE'!$B$3*(1+'DCF_ADBE'!$B$4)^0*'DCF_ADBE'!$B$4*'DCF_ADBE'!$B$9)/(1+0.11)^1+('DCF_ADBE'!$B$3*(1+'DCF_ADBE'!$B$4)^2*('DCF_ADBE'!$B$5*(1-'DCF_ADBE'!$B$6)+'DCF_ADBE'!$B$7-'DCF_ADBE'!$B$8)-'DCF_ADBE'!$B$3*(1+'DCF_ADBE'!$B$4)^1*'DCF_ADBE'!$B$4*'DCF_ADBE'!$B$9)/(1+0.11)^2+('DCF_ADBE'!$B$3*(1+'DCF_ADBE'!$B$4)^3*('DCF_ADBE'!$B$5*(1-'DCF_ADBE'!$B$6)+'DCF_ADBE'!$B$7-'DCF_ADBE'!$B$8)-'DCF_ADBE'!$B$3*(1+'DCF_ADBE'!$B$4)^2*'DCF_ADBE'!$B$4*'DCF_ADBE'!$B$9)/(1+0.11)^3+('DCF_ADBE'!$B$3*(1+'DCF_ADBE'!$B$4)^4*('DCF_ADBE'!$B$5*(1-'DCF_ADBE'!$B$6)+'DCF_ADBE'!$B$7-'DCF_ADBE'!$B$8)-'DCF_ADBE'!$B$3*(1+'DCF_ADBE'!$B$4)^3*'DCF_ADBE'!$B$4*'DCF_ADBE'!$B$9)/(1+0.11)^4+('DCF_ADBE'!$B$3*(1+'DCF_ADBE'!$B$4)^5*('DCF_ADBE'!$B$5*(1-'DCF_ADBE'!$B$6)+'DCF_ADBE'!$B$7-'DCF_ADBE'!$B$8)-'DCF_ADBE'!$B$3*(1+'DCF_ADBE'!$B$4)^4*'DCF_ADBE'!$B$4*'DCF_ADBE'!$B$9)/(1+0.11)^5+('DCF_ADBE'!$B$3*(1+'DCF_ADBE'!$B$4)^5*(1+0.035)*('DCF_ADBE'!$B$5*(1-'DCF_ADBE'!$B$6)+'DCF_ADBE'!$B$7-'DCF_ADBE'!$B$8)-'DCF_ADBE'!$B$3*(1+'DCF_ADBE'!$B$4)^5*0.035*'DCF_ADBE'!$B$9)/(0.11-0.035)/(1+0.11)^5-'DCF_ADBE'!$B$13)/'DCF_ADBE'!$B$12)</f>
        <v>248.69252100016809</v>
      </c>
    </row>
    <row r="8" spans="1:7" x14ac:dyDescent="0.25">
      <c r="A8" s="4" t="s">
        <v>890</v>
      </c>
      <c r="B8" s="5">
        <v>0.095</v>
      </c>
      <c r="C8" s="7">
        <f>((('DCF_PYPL'!$B$3*(1+'DCF_PYPL'!$B$4)^1*('DCF_PYPL'!$B$5*(1-'DCF_PYPL'!$B$6)+'DCF_PYPL'!$B$7-'DCF_PYPL'!$B$8)-'DCF_PYPL'!$B$3*(1+'DCF_PYPL'!$B$4)^0*'DCF_PYPL'!$B$4*'DCF_PYPL'!$B$9)/(1+0.095)^1+('DCF_PYPL'!$B$3*(1+'DCF_PYPL'!$B$4)^2*('DCF_PYPL'!$B$5*(1-'DCF_PYPL'!$B$6)+'DCF_PYPL'!$B$7-'DCF_PYPL'!$B$8)-'DCF_PYPL'!$B$3*(1+'DCF_PYPL'!$B$4)^1*'DCF_PYPL'!$B$4*'DCF_PYPL'!$B$9)/(1+0.095)^2+('DCF_PYPL'!$B$3*(1+'DCF_PYPL'!$B$4)^3*('DCF_PYPL'!$B$5*(1-'DCF_PYPL'!$B$6)+'DCF_PYPL'!$B$7-'DCF_PYPL'!$B$8)-'DCF_PYPL'!$B$3*(1+'DCF_PYPL'!$B$4)^2*'DCF_PYPL'!$B$4*'DCF_PYPL'!$B$9)/(1+0.095)^3+('DCF_PYPL'!$B$3*(1+'DCF_PYPL'!$B$4)^4*('DCF_PYPL'!$B$5*(1-'DCF_PYPL'!$B$6)+'DCF_PYPL'!$B$7-'DCF_PYPL'!$B$8)-'DCF_PYPL'!$B$3*(1+'DCF_PYPL'!$B$4)^3*'DCF_PYPL'!$B$4*'DCF_PYPL'!$B$9)/(1+0.095)^4+('DCF_PYPL'!$B$3*(1+'DCF_PYPL'!$B$4)^5*('DCF_PYPL'!$B$5*(1-'DCF_PYPL'!$B$6)+'DCF_PYPL'!$B$7-'DCF_PYPL'!$B$8)-'DCF_PYPL'!$B$3*(1+'DCF_PYPL'!$B$4)^4*'DCF_PYPL'!$B$4*'DCF_PYPL'!$B$9)/(1+0.095)^5+('DCF_PYPL'!$B$3*(1+'DCF_PYPL'!$B$4)^5*(1+0.01)*('DCF_PYPL'!$B$5*(1-'DCF_PYPL'!$B$6)+'DCF_PYPL'!$B$7-'DCF_PYPL'!$B$8)-'DCF_PYPL'!$B$3*(1+'DCF_PYPL'!$B$4)^5*0.01*'DCF_PYPL'!$B$9)/(0.095-0.01)/(1+0.095)^5-'DCF_PYPL'!$B$13)/'DCF_PYPL'!$B$12)</f>
        <v>68.26376498519483</v>
      </c>
      <c r="D8" s="7">
        <f>((('DCF_PYPL'!$B$3*(1+'DCF_PYPL'!$B$4)^1*('DCF_PYPL'!$B$5*(1-'DCF_PYPL'!$B$6)+'DCF_PYPL'!$B$7-'DCF_PYPL'!$B$8)-'DCF_PYPL'!$B$3*(1+'DCF_PYPL'!$B$4)^0*'DCF_PYPL'!$B$4*'DCF_PYPL'!$B$9)/(1+0.095)^1+('DCF_PYPL'!$B$3*(1+'DCF_PYPL'!$B$4)^2*('DCF_PYPL'!$B$5*(1-'DCF_PYPL'!$B$6)+'DCF_PYPL'!$B$7-'DCF_PYPL'!$B$8)-'DCF_PYPL'!$B$3*(1+'DCF_PYPL'!$B$4)^1*'DCF_PYPL'!$B$4*'DCF_PYPL'!$B$9)/(1+0.095)^2+('DCF_PYPL'!$B$3*(1+'DCF_PYPL'!$B$4)^3*('DCF_PYPL'!$B$5*(1-'DCF_PYPL'!$B$6)+'DCF_PYPL'!$B$7-'DCF_PYPL'!$B$8)-'DCF_PYPL'!$B$3*(1+'DCF_PYPL'!$B$4)^2*'DCF_PYPL'!$B$4*'DCF_PYPL'!$B$9)/(1+0.095)^3+('DCF_PYPL'!$B$3*(1+'DCF_PYPL'!$B$4)^4*('DCF_PYPL'!$B$5*(1-'DCF_PYPL'!$B$6)+'DCF_PYPL'!$B$7-'DCF_PYPL'!$B$8)-'DCF_PYPL'!$B$3*(1+'DCF_PYPL'!$B$4)^3*'DCF_PYPL'!$B$4*'DCF_PYPL'!$B$9)/(1+0.095)^4+('DCF_PYPL'!$B$3*(1+'DCF_PYPL'!$B$4)^5*('DCF_PYPL'!$B$5*(1-'DCF_PYPL'!$B$6)+'DCF_PYPL'!$B$7-'DCF_PYPL'!$B$8)-'DCF_PYPL'!$B$3*(1+'DCF_PYPL'!$B$4)^4*'DCF_PYPL'!$B$4*'DCF_PYPL'!$B$9)/(1+0.095)^5+('DCF_PYPL'!$B$3*(1+'DCF_PYPL'!$B$4)^5*(1+0.015)*('DCF_PYPL'!$B$5*(1-'DCF_PYPL'!$B$6)+'DCF_PYPL'!$B$7-'DCF_PYPL'!$B$8)-'DCF_PYPL'!$B$3*(1+'DCF_PYPL'!$B$4)^5*0.015*'DCF_PYPL'!$B$9)/(0.095-0.015)/(1+0.095)^5-'DCF_PYPL'!$B$13)/'DCF_PYPL'!$B$12)</f>
        <v>71.36564964469083</v>
      </c>
      <c r="E8" s="7">
        <f>((('DCF_PYPL'!$B$3*(1+'DCF_PYPL'!$B$4)^1*('DCF_PYPL'!$B$5*(1-'DCF_PYPL'!$B$6)+'DCF_PYPL'!$B$7-'DCF_PYPL'!$B$8)-'DCF_PYPL'!$B$3*(1+'DCF_PYPL'!$B$4)^0*'DCF_PYPL'!$B$4*'DCF_PYPL'!$B$9)/(1+0.095)^1+('DCF_PYPL'!$B$3*(1+'DCF_PYPL'!$B$4)^2*('DCF_PYPL'!$B$5*(1-'DCF_PYPL'!$B$6)+'DCF_PYPL'!$B$7-'DCF_PYPL'!$B$8)-'DCF_PYPL'!$B$3*(1+'DCF_PYPL'!$B$4)^1*'DCF_PYPL'!$B$4*'DCF_PYPL'!$B$9)/(1+0.095)^2+('DCF_PYPL'!$B$3*(1+'DCF_PYPL'!$B$4)^3*('DCF_PYPL'!$B$5*(1-'DCF_PYPL'!$B$6)+'DCF_PYPL'!$B$7-'DCF_PYPL'!$B$8)-'DCF_PYPL'!$B$3*(1+'DCF_PYPL'!$B$4)^2*'DCF_PYPL'!$B$4*'DCF_PYPL'!$B$9)/(1+0.095)^3+('DCF_PYPL'!$B$3*(1+'DCF_PYPL'!$B$4)^4*('DCF_PYPL'!$B$5*(1-'DCF_PYPL'!$B$6)+'DCF_PYPL'!$B$7-'DCF_PYPL'!$B$8)-'DCF_PYPL'!$B$3*(1+'DCF_PYPL'!$B$4)^3*'DCF_PYPL'!$B$4*'DCF_PYPL'!$B$9)/(1+0.095)^4+('DCF_PYPL'!$B$3*(1+'DCF_PYPL'!$B$4)^5*('DCF_PYPL'!$B$5*(1-'DCF_PYPL'!$B$6)+'DCF_PYPL'!$B$7-'DCF_PYPL'!$B$8)-'DCF_PYPL'!$B$3*(1+'DCF_PYPL'!$B$4)^4*'DCF_PYPL'!$B$4*'DCF_PYPL'!$B$9)/(1+0.095)^5+('DCF_PYPL'!$B$3*(1+'DCF_PYPL'!$B$4)^5*(1+0.02)*('DCF_PYPL'!$B$5*(1-'DCF_PYPL'!$B$6)+'DCF_PYPL'!$B$7-'DCF_PYPL'!$B$8)-'DCF_PYPL'!$B$3*(1+'DCF_PYPL'!$B$4)^5*0.02*'DCF_PYPL'!$B$9)/(0.095-0.02)/(1+0.095)^5-'DCF_PYPL'!$B$13)/'DCF_PYPL'!$B$12)</f>
        <v>74.881118925453</v>
      </c>
      <c r="F8" s="7">
        <f>((('DCF_PYPL'!$B$3*(1+'DCF_PYPL'!$B$4)^1*('DCF_PYPL'!$B$5*(1-'DCF_PYPL'!$B$6)+'DCF_PYPL'!$B$7-'DCF_PYPL'!$B$8)-'DCF_PYPL'!$B$3*(1+'DCF_PYPL'!$B$4)^0*'DCF_PYPL'!$B$4*'DCF_PYPL'!$B$9)/(1+0.095)^1+('DCF_PYPL'!$B$3*(1+'DCF_PYPL'!$B$4)^2*('DCF_PYPL'!$B$5*(1-'DCF_PYPL'!$B$6)+'DCF_PYPL'!$B$7-'DCF_PYPL'!$B$8)-'DCF_PYPL'!$B$3*(1+'DCF_PYPL'!$B$4)^1*'DCF_PYPL'!$B$4*'DCF_PYPL'!$B$9)/(1+0.095)^2+('DCF_PYPL'!$B$3*(1+'DCF_PYPL'!$B$4)^3*('DCF_PYPL'!$B$5*(1-'DCF_PYPL'!$B$6)+'DCF_PYPL'!$B$7-'DCF_PYPL'!$B$8)-'DCF_PYPL'!$B$3*(1+'DCF_PYPL'!$B$4)^2*'DCF_PYPL'!$B$4*'DCF_PYPL'!$B$9)/(1+0.095)^3+('DCF_PYPL'!$B$3*(1+'DCF_PYPL'!$B$4)^4*('DCF_PYPL'!$B$5*(1-'DCF_PYPL'!$B$6)+'DCF_PYPL'!$B$7-'DCF_PYPL'!$B$8)-'DCF_PYPL'!$B$3*(1+'DCF_PYPL'!$B$4)^3*'DCF_PYPL'!$B$4*'DCF_PYPL'!$B$9)/(1+0.095)^4+('DCF_PYPL'!$B$3*(1+'DCF_PYPL'!$B$4)^5*('DCF_PYPL'!$B$5*(1-'DCF_PYPL'!$B$6)+'DCF_PYPL'!$B$7-'DCF_PYPL'!$B$8)-'DCF_PYPL'!$B$3*(1+'DCF_PYPL'!$B$4)^4*'DCF_PYPL'!$B$4*'DCF_PYPL'!$B$9)/(1+0.095)^5+('DCF_PYPL'!$B$3*(1+'DCF_PYPL'!$B$4)^5*(1+0.025)*('DCF_PYPL'!$B$5*(1-'DCF_PYPL'!$B$6)+'DCF_PYPL'!$B$7-'DCF_PYPL'!$B$8)-'DCF_PYPL'!$B$3*(1+'DCF_PYPL'!$B$4)^5*0.025*'DCF_PYPL'!$B$9)/(0.095-0.025)/(1+0.095)^5-'DCF_PYPL'!$B$13)/'DCF_PYPL'!$B$12)</f>
        <v>78.89879810346687</v>
      </c>
      <c r="G8" s="7">
        <f>((('DCF_PYPL'!$B$3*(1+'DCF_PYPL'!$B$4)^1*('DCF_PYPL'!$B$5*(1-'DCF_PYPL'!$B$6)+'DCF_PYPL'!$B$7-'DCF_PYPL'!$B$8)-'DCF_PYPL'!$B$3*(1+'DCF_PYPL'!$B$4)^0*'DCF_PYPL'!$B$4*'DCF_PYPL'!$B$9)/(1+0.095)^1+('DCF_PYPL'!$B$3*(1+'DCF_PYPL'!$B$4)^2*('DCF_PYPL'!$B$5*(1-'DCF_PYPL'!$B$6)+'DCF_PYPL'!$B$7-'DCF_PYPL'!$B$8)-'DCF_PYPL'!$B$3*(1+'DCF_PYPL'!$B$4)^1*'DCF_PYPL'!$B$4*'DCF_PYPL'!$B$9)/(1+0.095)^2+('DCF_PYPL'!$B$3*(1+'DCF_PYPL'!$B$4)^3*('DCF_PYPL'!$B$5*(1-'DCF_PYPL'!$B$6)+'DCF_PYPL'!$B$7-'DCF_PYPL'!$B$8)-'DCF_PYPL'!$B$3*(1+'DCF_PYPL'!$B$4)^2*'DCF_PYPL'!$B$4*'DCF_PYPL'!$B$9)/(1+0.095)^3+('DCF_PYPL'!$B$3*(1+'DCF_PYPL'!$B$4)^4*('DCF_PYPL'!$B$5*(1-'DCF_PYPL'!$B$6)+'DCF_PYPL'!$B$7-'DCF_PYPL'!$B$8)-'DCF_PYPL'!$B$3*(1+'DCF_PYPL'!$B$4)^3*'DCF_PYPL'!$B$4*'DCF_PYPL'!$B$9)/(1+0.095)^4+('DCF_PYPL'!$B$3*(1+'DCF_PYPL'!$B$4)^5*('DCF_PYPL'!$B$5*(1-'DCF_PYPL'!$B$6)+'DCF_PYPL'!$B$7-'DCF_PYPL'!$B$8)-'DCF_PYPL'!$B$3*(1+'DCF_PYPL'!$B$4)^4*'DCF_PYPL'!$B$4*'DCF_PYPL'!$B$9)/(1+0.095)^5+('DCF_PYPL'!$B$3*(1+'DCF_PYPL'!$B$4)^5*(1+0.03)*('DCF_PYPL'!$B$5*(1-'DCF_PYPL'!$B$6)+'DCF_PYPL'!$B$7-'DCF_PYPL'!$B$8)-'DCF_PYPL'!$B$3*(1+'DCF_PYPL'!$B$4)^5*0.03*'DCF_PYPL'!$B$9)/(0.095-0.03)/(1+0.095)^5-'DCF_PYPL'!$B$13)/'DCF_PYPL'!$B$12)</f>
        <v>83.53458177040599</v>
      </c>
    </row>
    <row r="9" spans="1:7" x14ac:dyDescent="0.25">
      <c r="A9" s="4" t="s">
        <v>890</v>
      </c>
      <c r="B9" s="5">
        <v>0.09999999999999999</v>
      </c>
      <c r="C9" s="7">
        <f>((('DCF_PYPL'!$B$3*(1+'DCF_PYPL'!$B$4)^1*('DCF_PYPL'!$B$5*(1-'DCF_PYPL'!$B$6)+'DCF_PYPL'!$B$7-'DCF_PYPL'!$B$8)-'DCF_PYPL'!$B$3*(1+'DCF_PYPL'!$B$4)^0*'DCF_PYPL'!$B$4*'DCF_PYPL'!$B$9)/(1+0.09999999999999999)^1+('DCF_PYPL'!$B$3*(1+'DCF_PYPL'!$B$4)^2*('DCF_PYPL'!$B$5*(1-'DCF_PYPL'!$B$6)+'DCF_PYPL'!$B$7-'DCF_PYPL'!$B$8)-'DCF_PYPL'!$B$3*(1+'DCF_PYPL'!$B$4)^1*'DCF_PYPL'!$B$4*'DCF_PYPL'!$B$9)/(1+0.09999999999999999)^2+('DCF_PYPL'!$B$3*(1+'DCF_PYPL'!$B$4)^3*('DCF_PYPL'!$B$5*(1-'DCF_PYPL'!$B$6)+'DCF_PYPL'!$B$7-'DCF_PYPL'!$B$8)-'DCF_PYPL'!$B$3*(1+'DCF_PYPL'!$B$4)^2*'DCF_PYPL'!$B$4*'DCF_PYPL'!$B$9)/(1+0.09999999999999999)^3+('DCF_PYPL'!$B$3*(1+'DCF_PYPL'!$B$4)^4*('DCF_PYPL'!$B$5*(1-'DCF_PYPL'!$B$6)+'DCF_PYPL'!$B$7-'DCF_PYPL'!$B$8)-'DCF_PYPL'!$B$3*(1+'DCF_PYPL'!$B$4)^3*'DCF_PYPL'!$B$4*'DCF_PYPL'!$B$9)/(1+0.09999999999999999)^4+('DCF_PYPL'!$B$3*(1+'DCF_PYPL'!$B$4)^5*('DCF_PYPL'!$B$5*(1-'DCF_PYPL'!$B$6)+'DCF_PYPL'!$B$7-'DCF_PYPL'!$B$8)-'DCF_PYPL'!$B$3*(1+'DCF_PYPL'!$B$4)^4*'DCF_PYPL'!$B$4*'DCF_PYPL'!$B$9)/(1+0.09999999999999999)^5+('DCF_PYPL'!$B$3*(1+'DCF_PYPL'!$B$4)^5*(1+0.01)*('DCF_PYPL'!$B$5*(1-'DCF_PYPL'!$B$6)+'DCF_PYPL'!$B$7-'DCF_PYPL'!$B$8)-'DCF_PYPL'!$B$3*(1+'DCF_PYPL'!$B$4)^5*0.01*'DCF_PYPL'!$B$9)/(0.09999999999999999-0.01)/(1+0.09999999999999999)^5-'DCF_PYPL'!$B$13)/'DCF_PYPL'!$B$12)</f>
        <v>64.4275370724465</v>
      </c>
      <c r="D9" s="7">
        <f>((('DCF_PYPL'!$B$3*(1+'DCF_PYPL'!$B$4)^1*('DCF_PYPL'!$B$5*(1-'DCF_PYPL'!$B$6)+'DCF_PYPL'!$B$7-'DCF_PYPL'!$B$8)-'DCF_PYPL'!$B$3*(1+'DCF_PYPL'!$B$4)^0*'DCF_PYPL'!$B$4*'DCF_PYPL'!$B$9)/(1+0.09999999999999999)^1+('DCF_PYPL'!$B$3*(1+'DCF_PYPL'!$B$4)^2*('DCF_PYPL'!$B$5*(1-'DCF_PYPL'!$B$6)+'DCF_PYPL'!$B$7-'DCF_PYPL'!$B$8)-'DCF_PYPL'!$B$3*(1+'DCF_PYPL'!$B$4)^1*'DCF_PYPL'!$B$4*'DCF_PYPL'!$B$9)/(1+0.09999999999999999)^2+('DCF_PYPL'!$B$3*(1+'DCF_PYPL'!$B$4)^3*('DCF_PYPL'!$B$5*(1-'DCF_PYPL'!$B$6)+'DCF_PYPL'!$B$7-'DCF_PYPL'!$B$8)-'DCF_PYPL'!$B$3*(1+'DCF_PYPL'!$B$4)^2*'DCF_PYPL'!$B$4*'DCF_PYPL'!$B$9)/(1+0.09999999999999999)^3+('DCF_PYPL'!$B$3*(1+'DCF_PYPL'!$B$4)^4*('DCF_PYPL'!$B$5*(1-'DCF_PYPL'!$B$6)+'DCF_PYPL'!$B$7-'DCF_PYPL'!$B$8)-'DCF_PYPL'!$B$3*(1+'DCF_PYPL'!$B$4)^3*'DCF_PYPL'!$B$4*'DCF_PYPL'!$B$9)/(1+0.09999999999999999)^4+('DCF_PYPL'!$B$3*(1+'DCF_PYPL'!$B$4)^5*('DCF_PYPL'!$B$5*(1-'DCF_PYPL'!$B$6)+'DCF_PYPL'!$B$7-'DCF_PYPL'!$B$8)-'DCF_PYPL'!$B$3*(1+'DCF_PYPL'!$B$4)^4*'DCF_PYPL'!$B$4*'DCF_PYPL'!$B$9)/(1+0.09999999999999999)^5+('DCF_PYPL'!$B$3*(1+'DCF_PYPL'!$B$4)^5*(1+0.015)*('DCF_PYPL'!$B$5*(1-'DCF_PYPL'!$B$6)+'DCF_PYPL'!$B$7-'DCF_PYPL'!$B$8)-'DCF_PYPL'!$B$3*(1+'DCF_PYPL'!$B$4)^5*0.015*'DCF_PYPL'!$B$9)/(0.09999999999999999-0.015)/(1+0.09999999999999999)^5-'DCF_PYPL'!$B$13)/'DCF_PYPL'!$B$12)</f>
        <v>67.13343194935526</v>
      </c>
      <c r="E9" s="7">
        <f>((('DCF_PYPL'!$B$3*(1+'DCF_PYPL'!$B$4)^1*('DCF_PYPL'!$B$5*(1-'DCF_PYPL'!$B$6)+'DCF_PYPL'!$B$7-'DCF_PYPL'!$B$8)-'DCF_PYPL'!$B$3*(1+'DCF_PYPL'!$B$4)^0*'DCF_PYPL'!$B$4*'DCF_PYPL'!$B$9)/(1+0.09999999999999999)^1+('DCF_PYPL'!$B$3*(1+'DCF_PYPL'!$B$4)^2*('DCF_PYPL'!$B$5*(1-'DCF_PYPL'!$B$6)+'DCF_PYPL'!$B$7-'DCF_PYPL'!$B$8)-'DCF_PYPL'!$B$3*(1+'DCF_PYPL'!$B$4)^1*'DCF_PYPL'!$B$4*'DCF_PYPL'!$B$9)/(1+0.09999999999999999)^2+('DCF_PYPL'!$B$3*(1+'DCF_PYPL'!$B$4)^3*('DCF_PYPL'!$B$5*(1-'DCF_PYPL'!$B$6)+'DCF_PYPL'!$B$7-'DCF_PYPL'!$B$8)-'DCF_PYPL'!$B$3*(1+'DCF_PYPL'!$B$4)^2*'DCF_PYPL'!$B$4*'DCF_PYPL'!$B$9)/(1+0.09999999999999999)^3+('DCF_PYPL'!$B$3*(1+'DCF_PYPL'!$B$4)^4*('DCF_PYPL'!$B$5*(1-'DCF_PYPL'!$B$6)+'DCF_PYPL'!$B$7-'DCF_PYPL'!$B$8)-'DCF_PYPL'!$B$3*(1+'DCF_PYPL'!$B$4)^3*'DCF_PYPL'!$B$4*'DCF_PYPL'!$B$9)/(1+0.09999999999999999)^4+('DCF_PYPL'!$B$3*(1+'DCF_PYPL'!$B$4)^5*('DCF_PYPL'!$B$5*(1-'DCF_PYPL'!$B$6)+'DCF_PYPL'!$B$7-'DCF_PYPL'!$B$8)-'DCF_PYPL'!$B$3*(1+'DCF_PYPL'!$B$4)^4*'DCF_PYPL'!$B$4*'DCF_PYPL'!$B$9)/(1+0.09999999999999999)^5+('DCF_PYPL'!$B$3*(1+'DCF_PYPL'!$B$4)^5*(1+0.02)*('DCF_PYPL'!$B$5*(1-'DCF_PYPL'!$B$6)+'DCF_PYPL'!$B$7-'DCF_PYPL'!$B$8)-'DCF_PYPL'!$B$3*(1+'DCF_PYPL'!$B$4)^5*0.02*'DCF_PYPL'!$B$9)/(0.09999999999999999-0.02)/(1+0.09999999999999999)^5-'DCF_PYPL'!$B$13)/'DCF_PYPL'!$B$12)</f>
        <v>70.17756368587757</v>
      </c>
      <c r="F9" s="7">
        <f>((('DCF_PYPL'!$B$3*(1+'DCF_PYPL'!$B$4)^1*('DCF_PYPL'!$B$5*(1-'DCF_PYPL'!$B$6)+'DCF_PYPL'!$B$7-'DCF_PYPL'!$B$8)-'DCF_PYPL'!$B$3*(1+'DCF_PYPL'!$B$4)^0*'DCF_PYPL'!$B$4*'DCF_PYPL'!$B$9)/(1+0.09999999999999999)^1+('DCF_PYPL'!$B$3*(1+'DCF_PYPL'!$B$4)^2*('DCF_PYPL'!$B$5*(1-'DCF_PYPL'!$B$6)+'DCF_PYPL'!$B$7-'DCF_PYPL'!$B$8)-'DCF_PYPL'!$B$3*(1+'DCF_PYPL'!$B$4)^1*'DCF_PYPL'!$B$4*'DCF_PYPL'!$B$9)/(1+0.09999999999999999)^2+('DCF_PYPL'!$B$3*(1+'DCF_PYPL'!$B$4)^3*('DCF_PYPL'!$B$5*(1-'DCF_PYPL'!$B$6)+'DCF_PYPL'!$B$7-'DCF_PYPL'!$B$8)-'DCF_PYPL'!$B$3*(1+'DCF_PYPL'!$B$4)^2*'DCF_PYPL'!$B$4*'DCF_PYPL'!$B$9)/(1+0.09999999999999999)^3+('DCF_PYPL'!$B$3*(1+'DCF_PYPL'!$B$4)^4*('DCF_PYPL'!$B$5*(1-'DCF_PYPL'!$B$6)+'DCF_PYPL'!$B$7-'DCF_PYPL'!$B$8)-'DCF_PYPL'!$B$3*(1+'DCF_PYPL'!$B$4)^3*'DCF_PYPL'!$B$4*'DCF_PYPL'!$B$9)/(1+0.09999999999999999)^4+('DCF_PYPL'!$B$3*(1+'DCF_PYPL'!$B$4)^5*('DCF_PYPL'!$B$5*(1-'DCF_PYPL'!$B$6)+'DCF_PYPL'!$B$7-'DCF_PYPL'!$B$8)-'DCF_PYPL'!$B$3*(1+'DCF_PYPL'!$B$4)^4*'DCF_PYPL'!$B$4*'DCF_PYPL'!$B$9)/(1+0.09999999999999999)^5+('DCF_PYPL'!$B$3*(1+'DCF_PYPL'!$B$4)^5*(1+0.025)*('DCF_PYPL'!$B$5*(1-'DCF_PYPL'!$B$6)+'DCF_PYPL'!$B$7-'DCF_PYPL'!$B$8)-'DCF_PYPL'!$B$3*(1+'DCF_PYPL'!$B$4)^5*0.025*'DCF_PYPL'!$B$9)/(0.09999999999999999-0.025)/(1+0.09999999999999999)^5-'DCF_PYPL'!$B$13)/'DCF_PYPL'!$B$12)</f>
        <v>73.62757965393622</v>
      </c>
      <c r="G9" s="7">
        <f>((('DCF_PYPL'!$B$3*(1+'DCF_PYPL'!$B$4)^1*('DCF_PYPL'!$B$5*(1-'DCF_PYPL'!$B$6)+'DCF_PYPL'!$B$7-'DCF_PYPL'!$B$8)-'DCF_PYPL'!$B$3*(1+'DCF_PYPL'!$B$4)^0*'DCF_PYPL'!$B$4*'DCF_PYPL'!$B$9)/(1+0.09999999999999999)^1+('DCF_PYPL'!$B$3*(1+'DCF_PYPL'!$B$4)^2*('DCF_PYPL'!$B$5*(1-'DCF_PYPL'!$B$6)+'DCF_PYPL'!$B$7-'DCF_PYPL'!$B$8)-'DCF_PYPL'!$B$3*(1+'DCF_PYPL'!$B$4)^1*'DCF_PYPL'!$B$4*'DCF_PYPL'!$B$9)/(1+0.09999999999999999)^2+('DCF_PYPL'!$B$3*(1+'DCF_PYPL'!$B$4)^3*('DCF_PYPL'!$B$5*(1-'DCF_PYPL'!$B$6)+'DCF_PYPL'!$B$7-'DCF_PYPL'!$B$8)-'DCF_PYPL'!$B$3*(1+'DCF_PYPL'!$B$4)^2*'DCF_PYPL'!$B$4*'DCF_PYPL'!$B$9)/(1+0.09999999999999999)^3+('DCF_PYPL'!$B$3*(1+'DCF_PYPL'!$B$4)^4*('DCF_PYPL'!$B$5*(1-'DCF_PYPL'!$B$6)+'DCF_PYPL'!$B$7-'DCF_PYPL'!$B$8)-'DCF_PYPL'!$B$3*(1+'DCF_PYPL'!$B$4)^3*'DCF_PYPL'!$B$4*'DCF_PYPL'!$B$9)/(1+0.09999999999999999)^4+('DCF_PYPL'!$B$3*(1+'DCF_PYPL'!$B$4)^5*('DCF_PYPL'!$B$5*(1-'DCF_PYPL'!$B$6)+'DCF_PYPL'!$B$7-'DCF_PYPL'!$B$8)-'DCF_PYPL'!$B$3*(1+'DCF_PYPL'!$B$4)^4*'DCF_PYPL'!$B$4*'DCF_PYPL'!$B$9)/(1+0.09999999999999999)^5+('DCF_PYPL'!$B$3*(1+'DCF_PYPL'!$B$4)^5*(1+0.03)*('DCF_PYPL'!$B$5*(1-'DCF_PYPL'!$B$6)+'DCF_PYPL'!$B$7-'DCF_PYPL'!$B$8)-'DCF_PYPL'!$B$3*(1+'DCF_PYPL'!$B$4)^5*0.03*'DCF_PYPL'!$B$9)/(0.09999999999999999-0.03)/(1+0.09999999999999999)^5-'DCF_PYPL'!$B$13)/'DCF_PYPL'!$B$12)</f>
        <v>77.57045504600325</v>
      </c>
    </row>
    <row r="10" spans="1:7" x14ac:dyDescent="0.25">
      <c r="A10" s="4" t="s">
        <v>890</v>
      </c>
      <c r="B10" s="5">
        <v>0.105</v>
      </c>
      <c r="C10" s="7">
        <f>((('DCF_PYPL'!$B$3*(1+'DCF_PYPL'!$B$4)^1*('DCF_PYPL'!$B$5*(1-'DCF_PYPL'!$B$6)+'DCF_PYPL'!$B$7-'DCF_PYPL'!$B$8)-'DCF_PYPL'!$B$3*(1+'DCF_PYPL'!$B$4)^0*'DCF_PYPL'!$B$4*'DCF_PYPL'!$B$9)/(1+0.105)^1+('DCF_PYPL'!$B$3*(1+'DCF_PYPL'!$B$4)^2*('DCF_PYPL'!$B$5*(1-'DCF_PYPL'!$B$6)+'DCF_PYPL'!$B$7-'DCF_PYPL'!$B$8)-'DCF_PYPL'!$B$3*(1+'DCF_PYPL'!$B$4)^1*'DCF_PYPL'!$B$4*'DCF_PYPL'!$B$9)/(1+0.105)^2+('DCF_PYPL'!$B$3*(1+'DCF_PYPL'!$B$4)^3*('DCF_PYPL'!$B$5*(1-'DCF_PYPL'!$B$6)+'DCF_PYPL'!$B$7-'DCF_PYPL'!$B$8)-'DCF_PYPL'!$B$3*(1+'DCF_PYPL'!$B$4)^2*'DCF_PYPL'!$B$4*'DCF_PYPL'!$B$9)/(1+0.105)^3+('DCF_PYPL'!$B$3*(1+'DCF_PYPL'!$B$4)^4*('DCF_PYPL'!$B$5*(1-'DCF_PYPL'!$B$6)+'DCF_PYPL'!$B$7-'DCF_PYPL'!$B$8)-'DCF_PYPL'!$B$3*(1+'DCF_PYPL'!$B$4)^3*'DCF_PYPL'!$B$4*'DCF_PYPL'!$B$9)/(1+0.105)^4+('DCF_PYPL'!$B$3*(1+'DCF_PYPL'!$B$4)^5*('DCF_PYPL'!$B$5*(1-'DCF_PYPL'!$B$6)+'DCF_PYPL'!$B$7-'DCF_PYPL'!$B$8)-'DCF_PYPL'!$B$3*(1+'DCF_PYPL'!$B$4)^4*'DCF_PYPL'!$B$4*'DCF_PYPL'!$B$9)/(1+0.105)^5+('DCF_PYPL'!$B$3*(1+'DCF_PYPL'!$B$4)^5*(1+0.01)*('DCF_PYPL'!$B$5*(1-'DCF_PYPL'!$B$6)+'DCF_PYPL'!$B$7-'DCF_PYPL'!$B$8)-'DCF_PYPL'!$B$3*(1+'DCF_PYPL'!$B$4)^5*0.01*'DCF_PYPL'!$B$9)/(0.105-0.01)/(1+0.105)^5-'DCF_PYPL'!$B$13)/'DCF_PYPL'!$B$12)</f>
        <v>60.99631288963463</v>
      </c>
      <c r="D10" s="7">
        <f>((('DCF_PYPL'!$B$3*(1+'DCF_PYPL'!$B$4)^1*('DCF_PYPL'!$B$5*(1-'DCF_PYPL'!$B$6)+'DCF_PYPL'!$B$7-'DCF_PYPL'!$B$8)-'DCF_PYPL'!$B$3*(1+'DCF_PYPL'!$B$4)^0*'DCF_PYPL'!$B$4*'DCF_PYPL'!$B$9)/(1+0.105)^1+('DCF_PYPL'!$B$3*(1+'DCF_PYPL'!$B$4)^2*('DCF_PYPL'!$B$5*(1-'DCF_PYPL'!$B$6)+'DCF_PYPL'!$B$7-'DCF_PYPL'!$B$8)-'DCF_PYPL'!$B$3*(1+'DCF_PYPL'!$B$4)^1*'DCF_PYPL'!$B$4*'DCF_PYPL'!$B$9)/(1+0.105)^2+('DCF_PYPL'!$B$3*(1+'DCF_PYPL'!$B$4)^3*('DCF_PYPL'!$B$5*(1-'DCF_PYPL'!$B$6)+'DCF_PYPL'!$B$7-'DCF_PYPL'!$B$8)-'DCF_PYPL'!$B$3*(1+'DCF_PYPL'!$B$4)^2*'DCF_PYPL'!$B$4*'DCF_PYPL'!$B$9)/(1+0.105)^3+('DCF_PYPL'!$B$3*(1+'DCF_PYPL'!$B$4)^4*('DCF_PYPL'!$B$5*(1-'DCF_PYPL'!$B$6)+'DCF_PYPL'!$B$7-'DCF_PYPL'!$B$8)-'DCF_PYPL'!$B$3*(1+'DCF_PYPL'!$B$4)^3*'DCF_PYPL'!$B$4*'DCF_PYPL'!$B$9)/(1+0.105)^4+('DCF_PYPL'!$B$3*(1+'DCF_PYPL'!$B$4)^5*('DCF_PYPL'!$B$5*(1-'DCF_PYPL'!$B$6)+'DCF_PYPL'!$B$7-'DCF_PYPL'!$B$8)-'DCF_PYPL'!$B$3*(1+'DCF_PYPL'!$B$4)^4*'DCF_PYPL'!$B$4*'DCF_PYPL'!$B$9)/(1+0.105)^5+('DCF_PYPL'!$B$3*(1+'DCF_PYPL'!$B$4)^5*(1+0.015)*('DCF_PYPL'!$B$5*(1-'DCF_PYPL'!$B$6)+'DCF_PYPL'!$B$7-'DCF_PYPL'!$B$8)-'DCF_PYPL'!$B$3*(1+'DCF_PYPL'!$B$4)^5*0.015*'DCF_PYPL'!$B$9)/(0.105-0.015)/(1+0.105)^5-'DCF_PYPL'!$B$13)/'DCF_PYPL'!$B$12)</f>
        <v>63.37250765735768</v>
      </c>
      <c r="E10" s="7">
        <f>((('DCF_PYPL'!$B$3*(1+'DCF_PYPL'!$B$4)^1*('DCF_PYPL'!$B$5*(1-'DCF_PYPL'!$B$6)+'DCF_PYPL'!$B$7-'DCF_PYPL'!$B$8)-'DCF_PYPL'!$B$3*(1+'DCF_PYPL'!$B$4)^0*'DCF_PYPL'!$B$4*'DCF_PYPL'!$B$9)/(1+0.105)^1+('DCF_PYPL'!$B$3*(1+'DCF_PYPL'!$B$4)^2*('DCF_PYPL'!$B$5*(1-'DCF_PYPL'!$B$6)+'DCF_PYPL'!$B$7-'DCF_PYPL'!$B$8)-'DCF_PYPL'!$B$3*(1+'DCF_PYPL'!$B$4)^1*'DCF_PYPL'!$B$4*'DCF_PYPL'!$B$9)/(1+0.105)^2+('DCF_PYPL'!$B$3*(1+'DCF_PYPL'!$B$4)^3*('DCF_PYPL'!$B$5*(1-'DCF_PYPL'!$B$6)+'DCF_PYPL'!$B$7-'DCF_PYPL'!$B$8)-'DCF_PYPL'!$B$3*(1+'DCF_PYPL'!$B$4)^2*'DCF_PYPL'!$B$4*'DCF_PYPL'!$B$9)/(1+0.105)^3+('DCF_PYPL'!$B$3*(1+'DCF_PYPL'!$B$4)^4*('DCF_PYPL'!$B$5*(1-'DCF_PYPL'!$B$6)+'DCF_PYPL'!$B$7-'DCF_PYPL'!$B$8)-'DCF_PYPL'!$B$3*(1+'DCF_PYPL'!$B$4)^3*'DCF_PYPL'!$B$4*'DCF_PYPL'!$B$9)/(1+0.105)^4+('DCF_PYPL'!$B$3*(1+'DCF_PYPL'!$B$4)^5*('DCF_PYPL'!$B$5*(1-'DCF_PYPL'!$B$6)+'DCF_PYPL'!$B$7-'DCF_PYPL'!$B$8)-'DCF_PYPL'!$B$3*(1+'DCF_PYPL'!$B$4)^4*'DCF_PYPL'!$B$4*'DCF_PYPL'!$B$9)/(1+0.105)^5+('DCF_PYPL'!$B$3*(1+'DCF_PYPL'!$B$4)^5*(1+0.02)*('DCF_PYPL'!$B$5*(1-'DCF_PYPL'!$B$6)+'DCF_PYPL'!$B$7-'DCF_PYPL'!$B$8)-'DCF_PYPL'!$B$3*(1+'DCF_PYPL'!$B$4)^5*0.02*'DCF_PYPL'!$B$9)/(0.105-0.02)/(1+0.105)^5-'DCF_PYPL'!$B$13)/'DCF_PYPL'!$B$12)</f>
        <v>66.02825475069521</v>
      </c>
      <c r="F10" s="7">
        <f>((('DCF_PYPL'!$B$3*(1+'DCF_PYPL'!$B$4)^1*('DCF_PYPL'!$B$5*(1-'DCF_PYPL'!$B$6)+'DCF_PYPL'!$B$7-'DCF_PYPL'!$B$8)-'DCF_PYPL'!$B$3*(1+'DCF_PYPL'!$B$4)^0*'DCF_PYPL'!$B$4*'DCF_PYPL'!$B$9)/(1+0.105)^1+('DCF_PYPL'!$B$3*(1+'DCF_PYPL'!$B$4)^2*('DCF_PYPL'!$B$5*(1-'DCF_PYPL'!$B$6)+'DCF_PYPL'!$B$7-'DCF_PYPL'!$B$8)-'DCF_PYPL'!$B$3*(1+'DCF_PYPL'!$B$4)^1*'DCF_PYPL'!$B$4*'DCF_PYPL'!$B$9)/(1+0.105)^2+('DCF_PYPL'!$B$3*(1+'DCF_PYPL'!$B$4)^3*('DCF_PYPL'!$B$5*(1-'DCF_PYPL'!$B$6)+'DCF_PYPL'!$B$7-'DCF_PYPL'!$B$8)-'DCF_PYPL'!$B$3*(1+'DCF_PYPL'!$B$4)^2*'DCF_PYPL'!$B$4*'DCF_PYPL'!$B$9)/(1+0.105)^3+('DCF_PYPL'!$B$3*(1+'DCF_PYPL'!$B$4)^4*('DCF_PYPL'!$B$5*(1-'DCF_PYPL'!$B$6)+'DCF_PYPL'!$B$7-'DCF_PYPL'!$B$8)-'DCF_PYPL'!$B$3*(1+'DCF_PYPL'!$B$4)^3*'DCF_PYPL'!$B$4*'DCF_PYPL'!$B$9)/(1+0.105)^4+('DCF_PYPL'!$B$3*(1+'DCF_PYPL'!$B$4)^5*('DCF_PYPL'!$B$5*(1-'DCF_PYPL'!$B$6)+'DCF_PYPL'!$B$7-'DCF_PYPL'!$B$8)-'DCF_PYPL'!$B$3*(1+'DCF_PYPL'!$B$4)^4*'DCF_PYPL'!$B$4*'DCF_PYPL'!$B$9)/(1+0.105)^5+('DCF_PYPL'!$B$3*(1+'DCF_PYPL'!$B$4)^5*(1+0.025)*('DCF_PYPL'!$B$5*(1-'DCF_PYPL'!$B$6)+'DCF_PYPL'!$B$7-'DCF_PYPL'!$B$8)-'DCF_PYPL'!$B$3*(1+'DCF_PYPL'!$B$4)^5*0.025*'DCF_PYPL'!$B$9)/(0.105-0.025)/(1+0.105)^5-'DCF_PYPL'!$B$13)/'DCF_PYPL'!$B$12)</f>
        <v>69.01597023069992</v>
      </c>
      <c r="G10" s="7">
        <f>((('DCF_PYPL'!$B$3*(1+'DCF_PYPL'!$B$4)^1*('DCF_PYPL'!$B$5*(1-'DCF_PYPL'!$B$6)+'DCF_PYPL'!$B$7-'DCF_PYPL'!$B$8)-'DCF_PYPL'!$B$3*(1+'DCF_PYPL'!$B$4)^0*'DCF_PYPL'!$B$4*'DCF_PYPL'!$B$9)/(1+0.105)^1+('DCF_PYPL'!$B$3*(1+'DCF_PYPL'!$B$4)^2*('DCF_PYPL'!$B$5*(1-'DCF_PYPL'!$B$6)+'DCF_PYPL'!$B$7-'DCF_PYPL'!$B$8)-'DCF_PYPL'!$B$3*(1+'DCF_PYPL'!$B$4)^1*'DCF_PYPL'!$B$4*'DCF_PYPL'!$B$9)/(1+0.105)^2+('DCF_PYPL'!$B$3*(1+'DCF_PYPL'!$B$4)^3*('DCF_PYPL'!$B$5*(1-'DCF_PYPL'!$B$6)+'DCF_PYPL'!$B$7-'DCF_PYPL'!$B$8)-'DCF_PYPL'!$B$3*(1+'DCF_PYPL'!$B$4)^2*'DCF_PYPL'!$B$4*'DCF_PYPL'!$B$9)/(1+0.105)^3+('DCF_PYPL'!$B$3*(1+'DCF_PYPL'!$B$4)^4*('DCF_PYPL'!$B$5*(1-'DCF_PYPL'!$B$6)+'DCF_PYPL'!$B$7-'DCF_PYPL'!$B$8)-'DCF_PYPL'!$B$3*(1+'DCF_PYPL'!$B$4)^3*'DCF_PYPL'!$B$4*'DCF_PYPL'!$B$9)/(1+0.105)^4+('DCF_PYPL'!$B$3*(1+'DCF_PYPL'!$B$4)^5*('DCF_PYPL'!$B$5*(1-'DCF_PYPL'!$B$6)+'DCF_PYPL'!$B$7-'DCF_PYPL'!$B$8)-'DCF_PYPL'!$B$3*(1+'DCF_PYPL'!$B$4)^4*'DCF_PYPL'!$B$4*'DCF_PYPL'!$B$9)/(1+0.105)^5+('DCF_PYPL'!$B$3*(1+'DCF_PYPL'!$B$4)^5*(1+0.03)*('DCF_PYPL'!$B$5*(1-'DCF_PYPL'!$B$6)+'DCF_PYPL'!$B$7-'DCF_PYPL'!$B$8)-'DCF_PYPL'!$B$3*(1+'DCF_PYPL'!$B$4)^5*0.03*'DCF_PYPL'!$B$9)/(0.105-0.03)/(1+0.105)^5-'DCF_PYPL'!$B$13)/'DCF_PYPL'!$B$12)</f>
        <v>72.40204777470527</v>
      </c>
    </row>
    <row r="11" spans="1:7" x14ac:dyDescent="0.25">
      <c r="A11" s="4" t="s">
        <v>890</v>
      </c>
      <c r="B11" s="5">
        <v>0.11</v>
      </c>
      <c r="C11" s="7">
        <f>((('DCF_PYPL'!$B$3*(1+'DCF_PYPL'!$B$4)^1*('DCF_PYPL'!$B$5*(1-'DCF_PYPL'!$B$6)+'DCF_PYPL'!$B$7-'DCF_PYPL'!$B$8)-'DCF_PYPL'!$B$3*(1+'DCF_PYPL'!$B$4)^0*'DCF_PYPL'!$B$4*'DCF_PYPL'!$B$9)/(1+0.11)^1+('DCF_PYPL'!$B$3*(1+'DCF_PYPL'!$B$4)^2*('DCF_PYPL'!$B$5*(1-'DCF_PYPL'!$B$6)+'DCF_PYPL'!$B$7-'DCF_PYPL'!$B$8)-'DCF_PYPL'!$B$3*(1+'DCF_PYPL'!$B$4)^1*'DCF_PYPL'!$B$4*'DCF_PYPL'!$B$9)/(1+0.11)^2+('DCF_PYPL'!$B$3*(1+'DCF_PYPL'!$B$4)^3*('DCF_PYPL'!$B$5*(1-'DCF_PYPL'!$B$6)+'DCF_PYPL'!$B$7-'DCF_PYPL'!$B$8)-'DCF_PYPL'!$B$3*(1+'DCF_PYPL'!$B$4)^2*'DCF_PYPL'!$B$4*'DCF_PYPL'!$B$9)/(1+0.11)^3+('DCF_PYPL'!$B$3*(1+'DCF_PYPL'!$B$4)^4*('DCF_PYPL'!$B$5*(1-'DCF_PYPL'!$B$6)+'DCF_PYPL'!$B$7-'DCF_PYPL'!$B$8)-'DCF_PYPL'!$B$3*(1+'DCF_PYPL'!$B$4)^3*'DCF_PYPL'!$B$4*'DCF_PYPL'!$B$9)/(1+0.11)^4+('DCF_PYPL'!$B$3*(1+'DCF_PYPL'!$B$4)^5*('DCF_PYPL'!$B$5*(1-'DCF_PYPL'!$B$6)+'DCF_PYPL'!$B$7-'DCF_PYPL'!$B$8)-'DCF_PYPL'!$B$3*(1+'DCF_PYPL'!$B$4)^4*'DCF_PYPL'!$B$4*'DCF_PYPL'!$B$9)/(1+0.11)^5+('DCF_PYPL'!$B$3*(1+'DCF_PYPL'!$B$4)^5*(1+0.01)*('DCF_PYPL'!$B$5*(1-'DCF_PYPL'!$B$6)+'DCF_PYPL'!$B$7-'DCF_PYPL'!$B$8)-'DCF_PYPL'!$B$3*(1+'DCF_PYPL'!$B$4)^5*0.01*'DCF_PYPL'!$B$9)/(0.11-0.01)/(1+0.11)^5-'DCF_PYPL'!$B$13)/'DCF_PYPL'!$B$12)</f>
        <v>57.90931477363083</v>
      </c>
      <c r="D11" s="7">
        <f>((('DCF_PYPL'!$B$3*(1+'DCF_PYPL'!$B$4)^1*('DCF_PYPL'!$B$5*(1-'DCF_PYPL'!$B$6)+'DCF_PYPL'!$B$7-'DCF_PYPL'!$B$8)-'DCF_PYPL'!$B$3*(1+'DCF_PYPL'!$B$4)^0*'DCF_PYPL'!$B$4*'DCF_PYPL'!$B$9)/(1+0.11)^1+('DCF_PYPL'!$B$3*(1+'DCF_PYPL'!$B$4)^2*('DCF_PYPL'!$B$5*(1-'DCF_PYPL'!$B$6)+'DCF_PYPL'!$B$7-'DCF_PYPL'!$B$8)-'DCF_PYPL'!$B$3*(1+'DCF_PYPL'!$B$4)^1*'DCF_PYPL'!$B$4*'DCF_PYPL'!$B$9)/(1+0.11)^2+('DCF_PYPL'!$B$3*(1+'DCF_PYPL'!$B$4)^3*('DCF_PYPL'!$B$5*(1-'DCF_PYPL'!$B$6)+'DCF_PYPL'!$B$7-'DCF_PYPL'!$B$8)-'DCF_PYPL'!$B$3*(1+'DCF_PYPL'!$B$4)^2*'DCF_PYPL'!$B$4*'DCF_PYPL'!$B$9)/(1+0.11)^3+('DCF_PYPL'!$B$3*(1+'DCF_PYPL'!$B$4)^4*('DCF_PYPL'!$B$5*(1-'DCF_PYPL'!$B$6)+'DCF_PYPL'!$B$7-'DCF_PYPL'!$B$8)-'DCF_PYPL'!$B$3*(1+'DCF_PYPL'!$B$4)^3*'DCF_PYPL'!$B$4*'DCF_PYPL'!$B$9)/(1+0.11)^4+('DCF_PYPL'!$B$3*(1+'DCF_PYPL'!$B$4)^5*('DCF_PYPL'!$B$5*(1-'DCF_PYPL'!$B$6)+'DCF_PYPL'!$B$7-'DCF_PYPL'!$B$8)-'DCF_PYPL'!$B$3*(1+'DCF_PYPL'!$B$4)^4*'DCF_PYPL'!$B$4*'DCF_PYPL'!$B$9)/(1+0.11)^5+('DCF_PYPL'!$B$3*(1+'DCF_PYPL'!$B$4)^5*(1+0.015)*('DCF_PYPL'!$B$5*(1-'DCF_PYPL'!$B$6)+'DCF_PYPL'!$B$7-'DCF_PYPL'!$B$8)-'DCF_PYPL'!$B$3*(1+'DCF_PYPL'!$B$4)^5*0.015*'DCF_PYPL'!$B$9)/(0.11-0.015)/(1+0.11)^5-'DCF_PYPL'!$B$13)/'DCF_PYPL'!$B$12)</f>
        <v>60.008438245681674</v>
      </c>
      <c r="E11" s="7">
        <f>((('DCF_PYPL'!$B$3*(1+'DCF_PYPL'!$B$4)^1*('DCF_PYPL'!$B$5*(1-'DCF_PYPL'!$B$6)+'DCF_PYPL'!$B$7-'DCF_PYPL'!$B$8)-'DCF_PYPL'!$B$3*(1+'DCF_PYPL'!$B$4)^0*'DCF_PYPL'!$B$4*'DCF_PYPL'!$B$9)/(1+0.11)^1+('DCF_PYPL'!$B$3*(1+'DCF_PYPL'!$B$4)^2*('DCF_PYPL'!$B$5*(1-'DCF_PYPL'!$B$6)+'DCF_PYPL'!$B$7-'DCF_PYPL'!$B$8)-'DCF_PYPL'!$B$3*(1+'DCF_PYPL'!$B$4)^1*'DCF_PYPL'!$B$4*'DCF_PYPL'!$B$9)/(1+0.11)^2+('DCF_PYPL'!$B$3*(1+'DCF_PYPL'!$B$4)^3*('DCF_PYPL'!$B$5*(1-'DCF_PYPL'!$B$6)+'DCF_PYPL'!$B$7-'DCF_PYPL'!$B$8)-'DCF_PYPL'!$B$3*(1+'DCF_PYPL'!$B$4)^2*'DCF_PYPL'!$B$4*'DCF_PYPL'!$B$9)/(1+0.11)^3+('DCF_PYPL'!$B$3*(1+'DCF_PYPL'!$B$4)^4*('DCF_PYPL'!$B$5*(1-'DCF_PYPL'!$B$6)+'DCF_PYPL'!$B$7-'DCF_PYPL'!$B$8)-'DCF_PYPL'!$B$3*(1+'DCF_PYPL'!$B$4)^3*'DCF_PYPL'!$B$4*'DCF_PYPL'!$B$9)/(1+0.11)^4+('DCF_PYPL'!$B$3*(1+'DCF_PYPL'!$B$4)^5*('DCF_PYPL'!$B$5*(1-'DCF_PYPL'!$B$6)+'DCF_PYPL'!$B$7-'DCF_PYPL'!$B$8)-'DCF_PYPL'!$B$3*(1+'DCF_PYPL'!$B$4)^4*'DCF_PYPL'!$B$4*'DCF_PYPL'!$B$9)/(1+0.11)^5+('DCF_PYPL'!$B$3*(1+'DCF_PYPL'!$B$4)^5*(1+0.02)*('DCF_PYPL'!$B$5*(1-'DCF_PYPL'!$B$6)+'DCF_PYPL'!$B$7-'DCF_PYPL'!$B$8)-'DCF_PYPL'!$B$3*(1+'DCF_PYPL'!$B$4)^5*0.02*'DCF_PYPL'!$B$9)/(0.11-0.02)/(1+0.11)^5-'DCF_PYPL'!$B$13)/'DCF_PYPL'!$B$12)</f>
        <v>62.34079765907151</v>
      </c>
      <c r="F11" s="7">
        <f>((('DCF_PYPL'!$B$3*(1+'DCF_PYPL'!$B$4)^1*('DCF_PYPL'!$B$5*(1-'DCF_PYPL'!$B$6)+'DCF_PYPL'!$B$7-'DCF_PYPL'!$B$8)-'DCF_PYPL'!$B$3*(1+'DCF_PYPL'!$B$4)^0*'DCF_PYPL'!$B$4*'DCF_PYPL'!$B$9)/(1+0.11)^1+('DCF_PYPL'!$B$3*(1+'DCF_PYPL'!$B$4)^2*('DCF_PYPL'!$B$5*(1-'DCF_PYPL'!$B$6)+'DCF_PYPL'!$B$7-'DCF_PYPL'!$B$8)-'DCF_PYPL'!$B$3*(1+'DCF_PYPL'!$B$4)^1*'DCF_PYPL'!$B$4*'DCF_PYPL'!$B$9)/(1+0.11)^2+('DCF_PYPL'!$B$3*(1+'DCF_PYPL'!$B$4)^3*('DCF_PYPL'!$B$5*(1-'DCF_PYPL'!$B$6)+'DCF_PYPL'!$B$7-'DCF_PYPL'!$B$8)-'DCF_PYPL'!$B$3*(1+'DCF_PYPL'!$B$4)^2*'DCF_PYPL'!$B$4*'DCF_PYPL'!$B$9)/(1+0.11)^3+('DCF_PYPL'!$B$3*(1+'DCF_PYPL'!$B$4)^4*('DCF_PYPL'!$B$5*(1-'DCF_PYPL'!$B$6)+'DCF_PYPL'!$B$7-'DCF_PYPL'!$B$8)-'DCF_PYPL'!$B$3*(1+'DCF_PYPL'!$B$4)^3*'DCF_PYPL'!$B$4*'DCF_PYPL'!$B$9)/(1+0.11)^4+('DCF_PYPL'!$B$3*(1+'DCF_PYPL'!$B$4)^5*('DCF_PYPL'!$B$5*(1-'DCF_PYPL'!$B$6)+'DCF_PYPL'!$B$7-'DCF_PYPL'!$B$8)-'DCF_PYPL'!$B$3*(1+'DCF_PYPL'!$B$4)^4*'DCF_PYPL'!$B$4*'DCF_PYPL'!$B$9)/(1+0.11)^5+('DCF_PYPL'!$B$3*(1+'DCF_PYPL'!$B$4)^5*(1+0.025)*('DCF_PYPL'!$B$5*(1-'DCF_PYPL'!$B$6)+'DCF_PYPL'!$B$7-'DCF_PYPL'!$B$8)-'DCF_PYPL'!$B$3*(1+'DCF_PYPL'!$B$4)^5*0.025*'DCF_PYPL'!$B$9)/(0.11-0.025)/(1+0.11)^5-'DCF_PYPL'!$B$13)/'DCF_PYPL'!$B$12)</f>
        <v>64.94755229756602</v>
      </c>
      <c r="G11" s="7">
        <f>((('DCF_PYPL'!$B$3*(1+'DCF_PYPL'!$B$4)^1*('DCF_PYPL'!$B$5*(1-'DCF_PYPL'!$B$6)+'DCF_PYPL'!$B$7-'DCF_PYPL'!$B$8)-'DCF_PYPL'!$B$3*(1+'DCF_PYPL'!$B$4)^0*'DCF_PYPL'!$B$4*'DCF_PYPL'!$B$9)/(1+0.11)^1+('DCF_PYPL'!$B$3*(1+'DCF_PYPL'!$B$4)^2*('DCF_PYPL'!$B$5*(1-'DCF_PYPL'!$B$6)+'DCF_PYPL'!$B$7-'DCF_PYPL'!$B$8)-'DCF_PYPL'!$B$3*(1+'DCF_PYPL'!$B$4)^1*'DCF_PYPL'!$B$4*'DCF_PYPL'!$B$9)/(1+0.11)^2+('DCF_PYPL'!$B$3*(1+'DCF_PYPL'!$B$4)^3*('DCF_PYPL'!$B$5*(1-'DCF_PYPL'!$B$6)+'DCF_PYPL'!$B$7-'DCF_PYPL'!$B$8)-'DCF_PYPL'!$B$3*(1+'DCF_PYPL'!$B$4)^2*'DCF_PYPL'!$B$4*'DCF_PYPL'!$B$9)/(1+0.11)^3+('DCF_PYPL'!$B$3*(1+'DCF_PYPL'!$B$4)^4*('DCF_PYPL'!$B$5*(1-'DCF_PYPL'!$B$6)+'DCF_PYPL'!$B$7-'DCF_PYPL'!$B$8)-'DCF_PYPL'!$B$3*(1+'DCF_PYPL'!$B$4)^3*'DCF_PYPL'!$B$4*'DCF_PYPL'!$B$9)/(1+0.11)^4+('DCF_PYPL'!$B$3*(1+'DCF_PYPL'!$B$4)^5*('DCF_PYPL'!$B$5*(1-'DCF_PYPL'!$B$6)+'DCF_PYPL'!$B$7-'DCF_PYPL'!$B$8)-'DCF_PYPL'!$B$3*(1+'DCF_PYPL'!$B$4)^4*'DCF_PYPL'!$B$4*'DCF_PYPL'!$B$9)/(1+0.11)^5+('DCF_PYPL'!$B$3*(1+'DCF_PYPL'!$B$4)^5*(1+0.03)*('DCF_PYPL'!$B$5*(1-'DCF_PYPL'!$B$6)+'DCF_PYPL'!$B$7-'DCF_PYPL'!$B$8)-'DCF_PYPL'!$B$3*(1+'DCF_PYPL'!$B$4)^5*0.03*'DCF_PYPL'!$B$9)/(0.11-0.03)/(1+0.11)^5-'DCF_PYPL'!$B$13)/'DCF_PYPL'!$B$12)</f>
        <v>67.88015126587233</v>
      </c>
    </row>
    <row r="12" spans="1:7" x14ac:dyDescent="0.25">
      <c r="A12" s="4" t="s">
        <v>890</v>
      </c>
      <c r="B12" s="5">
        <v>0.11499999999999999</v>
      </c>
      <c r="C12" s="7">
        <f>((('DCF_PYPL'!$B$3*(1+'DCF_PYPL'!$B$4)^1*('DCF_PYPL'!$B$5*(1-'DCF_PYPL'!$B$6)+'DCF_PYPL'!$B$7-'DCF_PYPL'!$B$8)-'DCF_PYPL'!$B$3*(1+'DCF_PYPL'!$B$4)^0*'DCF_PYPL'!$B$4*'DCF_PYPL'!$B$9)/(1+0.11499999999999999)^1+('DCF_PYPL'!$B$3*(1+'DCF_PYPL'!$B$4)^2*('DCF_PYPL'!$B$5*(1-'DCF_PYPL'!$B$6)+'DCF_PYPL'!$B$7-'DCF_PYPL'!$B$8)-'DCF_PYPL'!$B$3*(1+'DCF_PYPL'!$B$4)^1*'DCF_PYPL'!$B$4*'DCF_PYPL'!$B$9)/(1+0.11499999999999999)^2+('DCF_PYPL'!$B$3*(1+'DCF_PYPL'!$B$4)^3*('DCF_PYPL'!$B$5*(1-'DCF_PYPL'!$B$6)+'DCF_PYPL'!$B$7-'DCF_PYPL'!$B$8)-'DCF_PYPL'!$B$3*(1+'DCF_PYPL'!$B$4)^2*'DCF_PYPL'!$B$4*'DCF_PYPL'!$B$9)/(1+0.11499999999999999)^3+('DCF_PYPL'!$B$3*(1+'DCF_PYPL'!$B$4)^4*('DCF_PYPL'!$B$5*(1-'DCF_PYPL'!$B$6)+'DCF_PYPL'!$B$7-'DCF_PYPL'!$B$8)-'DCF_PYPL'!$B$3*(1+'DCF_PYPL'!$B$4)^3*'DCF_PYPL'!$B$4*'DCF_PYPL'!$B$9)/(1+0.11499999999999999)^4+('DCF_PYPL'!$B$3*(1+'DCF_PYPL'!$B$4)^5*('DCF_PYPL'!$B$5*(1-'DCF_PYPL'!$B$6)+'DCF_PYPL'!$B$7-'DCF_PYPL'!$B$8)-'DCF_PYPL'!$B$3*(1+'DCF_PYPL'!$B$4)^4*'DCF_PYPL'!$B$4*'DCF_PYPL'!$B$9)/(1+0.11499999999999999)^5+('DCF_PYPL'!$B$3*(1+'DCF_PYPL'!$B$4)^5*(1+0.01)*('DCF_PYPL'!$B$5*(1-'DCF_PYPL'!$B$6)+'DCF_PYPL'!$B$7-'DCF_PYPL'!$B$8)-'DCF_PYPL'!$B$3*(1+'DCF_PYPL'!$B$4)^5*0.01*'DCF_PYPL'!$B$9)/(0.11499999999999999-0.01)/(1+0.11499999999999999)^5-'DCF_PYPL'!$B$13)/'DCF_PYPL'!$B$12)</f>
        <v>55.11734251114615</v>
      </c>
      <c r="D12" s="7">
        <f>((('DCF_PYPL'!$B$3*(1+'DCF_PYPL'!$B$4)^1*('DCF_PYPL'!$B$5*(1-'DCF_PYPL'!$B$6)+'DCF_PYPL'!$B$7-'DCF_PYPL'!$B$8)-'DCF_PYPL'!$B$3*(1+'DCF_PYPL'!$B$4)^0*'DCF_PYPL'!$B$4*'DCF_PYPL'!$B$9)/(1+0.11499999999999999)^1+('DCF_PYPL'!$B$3*(1+'DCF_PYPL'!$B$4)^2*('DCF_PYPL'!$B$5*(1-'DCF_PYPL'!$B$6)+'DCF_PYPL'!$B$7-'DCF_PYPL'!$B$8)-'DCF_PYPL'!$B$3*(1+'DCF_PYPL'!$B$4)^1*'DCF_PYPL'!$B$4*'DCF_PYPL'!$B$9)/(1+0.11499999999999999)^2+('DCF_PYPL'!$B$3*(1+'DCF_PYPL'!$B$4)^3*('DCF_PYPL'!$B$5*(1-'DCF_PYPL'!$B$6)+'DCF_PYPL'!$B$7-'DCF_PYPL'!$B$8)-'DCF_PYPL'!$B$3*(1+'DCF_PYPL'!$B$4)^2*'DCF_PYPL'!$B$4*'DCF_PYPL'!$B$9)/(1+0.11499999999999999)^3+('DCF_PYPL'!$B$3*(1+'DCF_PYPL'!$B$4)^4*('DCF_PYPL'!$B$5*(1-'DCF_PYPL'!$B$6)+'DCF_PYPL'!$B$7-'DCF_PYPL'!$B$8)-'DCF_PYPL'!$B$3*(1+'DCF_PYPL'!$B$4)^3*'DCF_PYPL'!$B$4*'DCF_PYPL'!$B$9)/(1+0.11499999999999999)^4+('DCF_PYPL'!$B$3*(1+'DCF_PYPL'!$B$4)^5*('DCF_PYPL'!$B$5*(1-'DCF_PYPL'!$B$6)+'DCF_PYPL'!$B$7-'DCF_PYPL'!$B$8)-'DCF_PYPL'!$B$3*(1+'DCF_PYPL'!$B$4)^4*'DCF_PYPL'!$B$4*'DCF_PYPL'!$B$9)/(1+0.11499999999999999)^5+('DCF_PYPL'!$B$3*(1+'DCF_PYPL'!$B$4)^5*(1+0.015)*('DCF_PYPL'!$B$5*(1-'DCF_PYPL'!$B$6)+'DCF_PYPL'!$B$7-'DCF_PYPL'!$B$8)-'DCF_PYPL'!$B$3*(1+'DCF_PYPL'!$B$4)^5*0.015*'DCF_PYPL'!$B$9)/(0.11499999999999999-0.015)/(1+0.11499999999999999)^5-'DCF_PYPL'!$B$13)/'DCF_PYPL'!$B$12)</f>
        <v>56.98167355400219</v>
      </c>
      <c r="E12" s="7">
        <f>((('DCF_PYPL'!$B$3*(1+'DCF_PYPL'!$B$4)^1*('DCF_PYPL'!$B$5*(1-'DCF_PYPL'!$B$6)+'DCF_PYPL'!$B$7-'DCF_PYPL'!$B$8)-'DCF_PYPL'!$B$3*(1+'DCF_PYPL'!$B$4)^0*'DCF_PYPL'!$B$4*'DCF_PYPL'!$B$9)/(1+0.11499999999999999)^1+('DCF_PYPL'!$B$3*(1+'DCF_PYPL'!$B$4)^2*('DCF_PYPL'!$B$5*(1-'DCF_PYPL'!$B$6)+'DCF_PYPL'!$B$7-'DCF_PYPL'!$B$8)-'DCF_PYPL'!$B$3*(1+'DCF_PYPL'!$B$4)^1*'DCF_PYPL'!$B$4*'DCF_PYPL'!$B$9)/(1+0.11499999999999999)^2+('DCF_PYPL'!$B$3*(1+'DCF_PYPL'!$B$4)^3*('DCF_PYPL'!$B$5*(1-'DCF_PYPL'!$B$6)+'DCF_PYPL'!$B$7-'DCF_PYPL'!$B$8)-'DCF_PYPL'!$B$3*(1+'DCF_PYPL'!$B$4)^2*'DCF_PYPL'!$B$4*'DCF_PYPL'!$B$9)/(1+0.11499999999999999)^3+('DCF_PYPL'!$B$3*(1+'DCF_PYPL'!$B$4)^4*('DCF_PYPL'!$B$5*(1-'DCF_PYPL'!$B$6)+'DCF_PYPL'!$B$7-'DCF_PYPL'!$B$8)-'DCF_PYPL'!$B$3*(1+'DCF_PYPL'!$B$4)^3*'DCF_PYPL'!$B$4*'DCF_PYPL'!$B$9)/(1+0.11499999999999999)^4+('DCF_PYPL'!$B$3*(1+'DCF_PYPL'!$B$4)^5*('DCF_PYPL'!$B$5*(1-'DCF_PYPL'!$B$6)+'DCF_PYPL'!$B$7-'DCF_PYPL'!$B$8)-'DCF_PYPL'!$B$3*(1+'DCF_PYPL'!$B$4)^4*'DCF_PYPL'!$B$4*'DCF_PYPL'!$B$9)/(1+0.11499999999999999)^5+('DCF_PYPL'!$B$3*(1+'DCF_PYPL'!$B$4)^5*(1+0.02)*('DCF_PYPL'!$B$5*(1-'DCF_PYPL'!$B$6)+'DCF_PYPL'!$B$7-'DCF_PYPL'!$B$8)-'DCF_PYPL'!$B$3*(1+'DCF_PYPL'!$B$4)^5*0.02*'DCF_PYPL'!$B$9)/(0.11499999999999999-0.02)/(1+0.11499999999999999)^5-'DCF_PYPL'!$B$13)/'DCF_PYPL'!$B$12)</f>
        <v>59.04224996979046</v>
      </c>
      <c r="F12" s="7">
        <f>((('DCF_PYPL'!$B$3*(1+'DCF_PYPL'!$B$4)^1*('DCF_PYPL'!$B$5*(1-'DCF_PYPL'!$B$6)+'DCF_PYPL'!$B$7-'DCF_PYPL'!$B$8)-'DCF_PYPL'!$B$3*(1+'DCF_PYPL'!$B$4)^0*'DCF_PYPL'!$B$4*'DCF_PYPL'!$B$9)/(1+0.11499999999999999)^1+('DCF_PYPL'!$B$3*(1+'DCF_PYPL'!$B$4)^2*('DCF_PYPL'!$B$5*(1-'DCF_PYPL'!$B$6)+'DCF_PYPL'!$B$7-'DCF_PYPL'!$B$8)-'DCF_PYPL'!$B$3*(1+'DCF_PYPL'!$B$4)^1*'DCF_PYPL'!$B$4*'DCF_PYPL'!$B$9)/(1+0.11499999999999999)^2+('DCF_PYPL'!$B$3*(1+'DCF_PYPL'!$B$4)^3*('DCF_PYPL'!$B$5*(1-'DCF_PYPL'!$B$6)+'DCF_PYPL'!$B$7-'DCF_PYPL'!$B$8)-'DCF_PYPL'!$B$3*(1+'DCF_PYPL'!$B$4)^2*'DCF_PYPL'!$B$4*'DCF_PYPL'!$B$9)/(1+0.11499999999999999)^3+('DCF_PYPL'!$B$3*(1+'DCF_PYPL'!$B$4)^4*('DCF_PYPL'!$B$5*(1-'DCF_PYPL'!$B$6)+'DCF_PYPL'!$B$7-'DCF_PYPL'!$B$8)-'DCF_PYPL'!$B$3*(1+'DCF_PYPL'!$B$4)^3*'DCF_PYPL'!$B$4*'DCF_PYPL'!$B$9)/(1+0.11499999999999999)^4+('DCF_PYPL'!$B$3*(1+'DCF_PYPL'!$B$4)^5*('DCF_PYPL'!$B$5*(1-'DCF_PYPL'!$B$6)+'DCF_PYPL'!$B$7-'DCF_PYPL'!$B$8)-'DCF_PYPL'!$B$3*(1+'DCF_PYPL'!$B$4)^4*'DCF_PYPL'!$B$4*'DCF_PYPL'!$B$9)/(1+0.11499999999999999)^5+('DCF_PYPL'!$B$3*(1+'DCF_PYPL'!$B$4)^5*(1+0.025)*('DCF_PYPL'!$B$5*(1-'DCF_PYPL'!$B$6)+'DCF_PYPL'!$B$7-'DCF_PYPL'!$B$8)-'DCF_PYPL'!$B$3*(1+'DCF_PYPL'!$B$4)^5*0.025*'DCF_PYPL'!$B$9)/(0.11499999999999999-0.025)/(1+0.11499999999999999)^5-'DCF_PYPL'!$B$13)/'DCF_PYPL'!$B$12)</f>
        <v>61.3317793206663</v>
      </c>
      <c r="G12" s="7">
        <f>((('DCF_PYPL'!$B$3*(1+'DCF_PYPL'!$B$4)^1*('DCF_PYPL'!$B$5*(1-'DCF_PYPL'!$B$6)+'DCF_PYPL'!$B$7-'DCF_PYPL'!$B$8)-'DCF_PYPL'!$B$3*(1+'DCF_PYPL'!$B$4)^0*'DCF_PYPL'!$B$4*'DCF_PYPL'!$B$9)/(1+0.11499999999999999)^1+('DCF_PYPL'!$B$3*(1+'DCF_PYPL'!$B$4)^2*('DCF_PYPL'!$B$5*(1-'DCF_PYPL'!$B$6)+'DCF_PYPL'!$B$7-'DCF_PYPL'!$B$8)-'DCF_PYPL'!$B$3*(1+'DCF_PYPL'!$B$4)^1*'DCF_PYPL'!$B$4*'DCF_PYPL'!$B$9)/(1+0.11499999999999999)^2+('DCF_PYPL'!$B$3*(1+'DCF_PYPL'!$B$4)^3*('DCF_PYPL'!$B$5*(1-'DCF_PYPL'!$B$6)+'DCF_PYPL'!$B$7-'DCF_PYPL'!$B$8)-'DCF_PYPL'!$B$3*(1+'DCF_PYPL'!$B$4)^2*'DCF_PYPL'!$B$4*'DCF_PYPL'!$B$9)/(1+0.11499999999999999)^3+('DCF_PYPL'!$B$3*(1+'DCF_PYPL'!$B$4)^4*('DCF_PYPL'!$B$5*(1-'DCF_PYPL'!$B$6)+'DCF_PYPL'!$B$7-'DCF_PYPL'!$B$8)-'DCF_PYPL'!$B$3*(1+'DCF_PYPL'!$B$4)^3*'DCF_PYPL'!$B$4*'DCF_PYPL'!$B$9)/(1+0.11499999999999999)^4+('DCF_PYPL'!$B$3*(1+'DCF_PYPL'!$B$4)^5*('DCF_PYPL'!$B$5*(1-'DCF_PYPL'!$B$6)+'DCF_PYPL'!$B$7-'DCF_PYPL'!$B$8)-'DCF_PYPL'!$B$3*(1+'DCF_PYPL'!$B$4)^4*'DCF_PYPL'!$B$4*'DCF_PYPL'!$B$9)/(1+0.11499999999999999)^5+('DCF_PYPL'!$B$3*(1+'DCF_PYPL'!$B$4)^5*(1+0.03)*('DCF_PYPL'!$B$5*(1-'DCF_PYPL'!$B$6)+'DCF_PYPL'!$B$7-'DCF_PYPL'!$B$8)-'DCF_PYPL'!$B$3*(1+'DCF_PYPL'!$B$4)^5*0.03*'DCF_PYPL'!$B$9)/(0.11499999999999999-0.03)/(1+0.11499999999999999)^5-'DCF_PYPL'!$B$13)/'DCF_PYPL'!$B$12)</f>
        <v>63.89066506576284</v>
      </c>
    </row>
    <row r="13" spans="1:7" x14ac:dyDescent="0.25">
      <c r="A13" s="4" t="s">
        <v>833</v>
      </c>
      <c r="B13" s="5">
        <v>0.09000000000000001</v>
      </c>
      <c r="C13" s="7">
        <f>((('DCF_NKE'!$B$3*(1+'DCF_NKE'!$B$4)^1*('DCF_NKE'!$B$5*(1-'DCF_NKE'!$B$6)+'DCF_NKE'!$B$7-'DCF_NKE'!$B$8)-'DCF_NKE'!$B$3*(1+'DCF_NKE'!$B$4)^0*'DCF_NKE'!$B$4*'DCF_NKE'!$B$9)/(1+0.09000000000000001)^1+('DCF_NKE'!$B$3*(1+'DCF_NKE'!$B$4)^2*('DCF_NKE'!$B$5*(1-'DCF_NKE'!$B$6)+'DCF_NKE'!$B$7-'DCF_NKE'!$B$8)-'DCF_NKE'!$B$3*(1+'DCF_NKE'!$B$4)^1*'DCF_NKE'!$B$4*'DCF_NKE'!$B$9)/(1+0.09000000000000001)^2+('DCF_NKE'!$B$3*(1+'DCF_NKE'!$B$4)^3*('DCF_NKE'!$B$5*(1-'DCF_NKE'!$B$6)+'DCF_NKE'!$B$7-'DCF_NKE'!$B$8)-'DCF_NKE'!$B$3*(1+'DCF_NKE'!$B$4)^2*'DCF_NKE'!$B$4*'DCF_NKE'!$B$9)/(1+0.09000000000000001)^3+('DCF_NKE'!$B$3*(1+'DCF_NKE'!$B$4)^4*('DCF_NKE'!$B$5*(1-'DCF_NKE'!$B$6)+'DCF_NKE'!$B$7-'DCF_NKE'!$B$8)-'DCF_NKE'!$B$3*(1+'DCF_NKE'!$B$4)^3*'DCF_NKE'!$B$4*'DCF_NKE'!$B$9)/(1+0.09000000000000001)^4+('DCF_NKE'!$B$3*(1+'DCF_NKE'!$B$4)^5*('DCF_NKE'!$B$5*(1-'DCF_NKE'!$B$6)+'DCF_NKE'!$B$7-'DCF_NKE'!$B$8)-'DCF_NKE'!$B$3*(1+'DCF_NKE'!$B$4)^4*'DCF_NKE'!$B$4*'DCF_NKE'!$B$9)/(1+0.09000000000000001)^5+('DCF_NKE'!$B$3*(1+'DCF_NKE'!$B$4)^5*(1+0.01)*('DCF_NKE'!$B$5*(1-'DCF_NKE'!$B$6)+'DCF_NKE'!$B$7-'DCF_NKE'!$B$8)-'DCF_NKE'!$B$3*(1+'DCF_NKE'!$B$4)^5*0.01*'DCF_NKE'!$B$9)/(0.09000000000000001-0.01)/(1+0.09000000000000001)^5-'DCF_NKE'!$B$13)/'DCF_NKE'!$B$12)</f>
        <v>30.760256574837552</v>
      </c>
      <c r="D13" s="7">
        <f>((('DCF_NKE'!$B$3*(1+'DCF_NKE'!$B$4)^1*('DCF_NKE'!$B$5*(1-'DCF_NKE'!$B$6)+'DCF_NKE'!$B$7-'DCF_NKE'!$B$8)-'DCF_NKE'!$B$3*(1+'DCF_NKE'!$B$4)^0*'DCF_NKE'!$B$4*'DCF_NKE'!$B$9)/(1+0.09000000000000001)^1+('DCF_NKE'!$B$3*(1+'DCF_NKE'!$B$4)^2*('DCF_NKE'!$B$5*(1-'DCF_NKE'!$B$6)+'DCF_NKE'!$B$7-'DCF_NKE'!$B$8)-'DCF_NKE'!$B$3*(1+'DCF_NKE'!$B$4)^1*'DCF_NKE'!$B$4*'DCF_NKE'!$B$9)/(1+0.09000000000000001)^2+('DCF_NKE'!$B$3*(1+'DCF_NKE'!$B$4)^3*('DCF_NKE'!$B$5*(1-'DCF_NKE'!$B$6)+'DCF_NKE'!$B$7-'DCF_NKE'!$B$8)-'DCF_NKE'!$B$3*(1+'DCF_NKE'!$B$4)^2*'DCF_NKE'!$B$4*'DCF_NKE'!$B$9)/(1+0.09000000000000001)^3+('DCF_NKE'!$B$3*(1+'DCF_NKE'!$B$4)^4*('DCF_NKE'!$B$5*(1-'DCF_NKE'!$B$6)+'DCF_NKE'!$B$7-'DCF_NKE'!$B$8)-'DCF_NKE'!$B$3*(1+'DCF_NKE'!$B$4)^3*'DCF_NKE'!$B$4*'DCF_NKE'!$B$9)/(1+0.09000000000000001)^4+('DCF_NKE'!$B$3*(1+'DCF_NKE'!$B$4)^5*('DCF_NKE'!$B$5*(1-'DCF_NKE'!$B$6)+'DCF_NKE'!$B$7-'DCF_NKE'!$B$8)-'DCF_NKE'!$B$3*(1+'DCF_NKE'!$B$4)^4*'DCF_NKE'!$B$4*'DCF_NKE'!$B$9)/(1+0.09000000000000001)^5+('DCF_NKE'!$B$3*(1+'DCF_NKE'!$B$4)^5*(1+0.015)*('DCF_NKE'!$B$5*(1-'DCF_NKE'!$B$6)+'DCF_NKE'!$B$7-'DCF_NKE'!$B$8)-'DCF_NKE'!$B$3*(1+'DCF_NKE'!$B$4)^5*0.015*'DCF_NKE'!$B$9)/(0.09000000000000001-0.015)/(1+0.09000000000000001)^5-'DCF_NKE'!$B$13)/'DCF_NKE'!$B$12)</f>
        <v>32.11653008498224</v>
      </c>
      <c r="E13" s="7">
        <f>((('DCF_NKE'!$B$3*(1+'DCF_NKE'!$B$4)^1*('DCF_NKE'!$B$5*(1-'DCF_NKE'!$B$6)+'DCF_NKE'!$B$7-'DCF_NKE'!$B$8)-'DCF_NKE'!$B$3*(1+'DCF_NKE'!$B$4)^0*'DCF_NKE'!$B$4*'DCF_NKE'!$B$9)/(1+0.09000000000000001)^1+('DCF_NKE'!$B$3*(1+'DCF_NKE'!$B$4)^2*('DCF_NKE'!$B$5*(1-'DCF_NKE'!$B$6)+'DCF_NKE'!$B$7-'DCF_NKE'!$B$8)-'DCF_NKE'!$B$3*(1+'DCF_NKE'!$B$4)^1*'DCF_NKE'!$B$4*'DCF_NKE'!$B$9)/(1+0.09000000000000001)^2+('DCF_NKE'!$B$3*(1+'DCF_NKE'!$B$4)^3*('DCF_NKE'!$B$5*(1-'DCF_NKE'!$B$6)+'DCF_NKE'!$B$7-'DCF_NKE'!$B$8)-'DCF_NKE'!$B$3*(1+'DCF_NKE'!$B$4)^2*'DCF_NKE'!$B$4*'DCF_NKE'!$B$9)/(1+0.09000000000000001)^3+('DCF_NKE'!$B$3*(1+'DCF_NKE'!$B$4)^4*('DCF_NKE'!$B$5*(1-'DCF_NKE'!$B$6)+'DCF_NKE'!$B$7-'DCF_NKE'!$B$8)-'DCF_NKE'!$B$3*(1+'DCF_NKE'!$B$4)^3*'DCF_NKE'!$B$4*'DCF_NKE'!$B$9)/(1+0.09000000000000001)^4+('DCF_NKE'!$B$3*(1+'DCF_NKE'!$B$4)^5*('DCF_NKE'!$B$5*(1-'DCF_NKE'!$B$6)+'DCF_NKE'!$B$7-'DCF_NKE'!$B$8)-'DCF_NKE'!$B$3*(1+'DCF_NKE'!$B$4)^4*'DCF_NKE'!$B$4*'DCF_NKE'!$B$9)/(1+0.09000000000000001)^5+('DCF_NKE'!$B$3*(1+'DCF_NKE'!$B$4)^5*(1+0.02)*('DCF_NKE'!$B$5*(1-'DCF_NKE'!$B$6)+'DCF_NKE'!$B$7-'DCF_NKE'!$B$8)-'DCF_NKE'!$B$3*(1+'DCF_NKE'!$B$4)^5*0.02*'DCF_NKE'!$B$9)/(0.09000000000000001-0.02)/(1+0.09000000000000001)^5-'DCF_NKE'!$B$13)/'DCF_NKE'!$B$12)</f>
        <v>33.666556953719024</v>
      </c>
      <c r="F13" s="7">
        <f>((('DCF_NKE'!$B$3*(1+'DCF_NKE'!$B$4)^1*('DCF_NKE'!$B$5*(1-'DCF_NKE'!$B$6)+'DCF_NKE'!$B$7-'DCF_NKE'!$B$8)-'DCF_NKE'!$B$3*(1+'DCF_NKE'!$B$4)^0*'DCF_NKE'!$B$4*'DCF_NKE'!$B$9)/(1+0.09000000000000001)^1+('DCF_NKE'!$B$3*(1+'DCF_NKE'!$B$4)^2*('DCF_NKE'!$B$5*(1-'DCF_NKE'!$B$6)+'DCF_NKE'!$B$7-'DCF_NKE'!$B$8)-'DCF_NKE'!$B$3*(1+'DCF_NKE'!$B$4)^1*'DCF_NKE'!$B$4*'DCF_NKE'!$B$9)/(1+0.09000000000000001)^2+('DCF_NKE'!$B$3*(1+'DCF_NKE'!$B$4)^3*('DCF_NKE'!$B$5*(1-'DCF_NKE'!$B$6)+'DCF_NKE'!$B$7-'DCF_NKE'!$B$8)-'DCF_NKE'!$B$3*(1+'DCF_NKE'!$B$4)^2*'DCF_NKE'!$B$4*'DCF_NKE'!$B$9)/(1+0.09000000000000001)^3+('DCF_NKE'!$B$3*(1+'DCF_NKE'!$B$4)^4*('DCF_NKE'!$B$5*(1-'DCF_NKE'!$B$6)+'DCF_NKE'!$B$7-'DCF_NKE'!$B$8)-'DCF_NKE'!$B$3*(1+'DCF_NKE'!$B$4)^3*'DCF_NKE'!$B$4*'DCF_NKE'!$B$9)/(1+0.09000000000000001)^4+('DCF_NKE'!$B$3*(1+'DCF_NKE'!$B$4)^5*('DCF_NKE'!$B$5*(1-'DCF_NKE'!$B$6)+'DCF_NKE'!$B$7-'DCF_NKE'!$B$8)-'DCF_NKE'!$B$3*(1+'DCF_NKE'!$B$4)^4*'DCF_NKE'!$B$4*'DCF_NKE'!$B$9)/(1+0.09000000000000001)^5+('DCF_NKE'!$B$3*(1+'DCF_NKE'!$B$4)^5*(1+0.025)*('DCF_NKE'!$B$5*(1-'DCF_NKE'!$B$6)+'DCF_NKE'!$B$7-'DCF_NKE'!$B$8)-'DCF_NKE'!$B$3*(1+'DCF_NKE'!$B$4)^5*0.025*'DCF_NKE'!$B$9)/(0.09000000000000001-0.025)/(1+0.09000000000000001)^5-'DCF_NKE'!$B$13)/'DCF_NKE'!$B$12)</f>
        <v>35.45504949456916</v>
      </c>
      <c r="G13" s="7">
        <f>((('DCF_NKE'!$B$3*(1+'DCF_NKE'!$B$4)^1*('DCF_NKE'!$B$5*(1-'DCF_NKE'!$B$6)+'DCF_NKE'!$B$7-'DCF_NKE'!$B$8)-'DCF_NKE'!$B$3*(1+'DCF_NKE'!$B$4)^0*'DCF_NKE'!$B$4*'DCF_NKE'!$B$9)/(1+0.09000000000000001)^1+('DCF_NKE'!$B$3*(1+'DCF_NKE'!$B$4)^2*('DCF_NKE'!$B$5*(1-'DCF_NKE'!$B$6)+'DCF_NKE'!$B$7-'DCF_NKE'!$B$8)-'DCF_NKE'!$B$3*(1+'DCF_NKE'!$B$4)^1*'DCF_NKE'!$B$4*'DCF_NKE'!$B$9)/(1+0.09000000000000001)^2+('DCF_NKE'!$B$3*(1+'DCF_NKE'!$B$4)^3*('DCF_NKE'!$B$5*(1-'DCF_NKE'!$B$6)+'DCF_NKE'!$B$7-'DCF_NKE'!$B$8)-'DCF_NKE'!$B$3*(1+'DCF_NKE'!$B$4)^2*'DCF_NKE'!$B$4*'DCF_NKE'!$B$9)/(1+0.09000000000000001)^3+('DCF_NKE'!$B$3*(1+'DCF_NKE'!$B$4)^4*('DCF_NKE'!$B$5*(1-'DCF_NKE'!$B$6)+'DCF_NKE'!$B$7-'DCF_NKE'!$B$8)-'DCF_NKE'!$B$3*(1+'DCF_NKE'!$B$4)^3*'DCF_NKE'!$B$4*'DCF_NKE'!$B$9)/(1+0.09000000000000001)^4+('DCF_NKE'!$B$3*(1+'DCF_NKE'!$B$4)^5*('DCF_NKE'!$B$5*(1-'DCF_NKE'!$B$6)+'DCF_NKE'!$B$7-'DCF_NKE'!$B$8)-'DCF_NKE'!$B$3*(1+'DCF_NKE'!$B$4)^4*'DCF_NKE'!$B$4*'DCF_NKE'!$B$9)/(1+0.09000000000000001)^5+('DCF_NKE'!$B$3*(1+'DCF_NKE'!$B$4)^5*(1+0.03)*('DCF_NKE'!$B$5*(1-'DCF_NKE'!$B$6)+'DCF_NKE'!$B$7-'DCF_NKE'!$B$8)-'DCF_NKE'!$B$3*(1+'DCF_NKE'!$B$4)^5*0.03*'DCF_NKE'!$B$9)/(0.09000000000000001-0.03)/(1+0.09000000000000001)^5-'DCF_NKE'!$B$13)/'DCF_NKE'!$B$12)</f>
        <v>37.541624125560986</v>
      </c>
    </row>
    <row r="14" spans="1:7" x14ac:dyDescent="0.25">
      <c r="A14" s="4" t="s">
        <v>833</v>
      </c>
      <c r="B14" s="5">
        <v>0.095</v>
      </c>
      <c r="C14" s="7">
        <f>((('DCF_NKE'!$B$3*(1+'DCF_NKE'!$B$4)^1*('DCF_NKE'!$B$5*(1-'DCF_NKE'!$B$6)+'DCF_NKE'!$B$7-'DCF_NKE'!$B$8)-'DCF_NKE'!$B$3*(1+'DCF_NKE'!$B$4)^0*'DCF_NKE'!$B$4*'DCF_NKE'!$B$9)/(1+0.095)^1+('DCF_NKE'!$B$3*(1+'DCF_NKE'!$B$4)^2*('DCF_NKE'!$B$5*(1-'DCF_NKE'!$B$6)+'DCF_NKE'!$B$7-'DCF_NKE'!$B$8)-'DCF_NKE'!$B$3*(1+'DCF_NKE'!$B$4)^1*'DCF_NKE'!$B$4*'DCF_NKE'!$B$9)/(1+0.095)^2+('DCF_NKE'!$B$3*(1+'DCF_NKE'!$B$4)^3*('DCF_NKE'!$B$5*(1-'DCF_NKE'!$B$6)+'DCF_NKE'!$B$7-'DCF_NKE'!$B$8)-'DCF_NKE'!$B$3*(1+'DCF_NKE'!$B$4)^2*'DCF_NKE'!$B$4*'DCF_NKE'!$B$9)/(1+0.095)^3+('DCF_NKE'!$B$3*(1+'DCF_NKE'!$B$4)^4*('DCF_NKE'!$B$5*(1-'DCF_NKE'!$B$6)+'DCF_NKE'!$B$7-'DCF_NKE'!$B$8)-'DCF_NKE'!$B$3*(1+'DCF_NKE'!$B$4)^3*'DCF_NKE'!$B$4*'DCF_NKE'!$B$9)/(1+0.095)^4+('DCF_NKE'!$B$3*(1+'DCF_NKE'!$B$4)^5*('DCF_NKE'!$B$5*(1-'DCF_NKE'!$B$6)+'DCF_NKE'!$B$7-'DCF_NKE'!$B$8)-'DCF_NKE'!$B$3*(1+'DCF_NKE'!$B$4)^4*'DCF_NKE'!$B$4*'DCF_NKE'!$B$9)/(1+0.095)^5+('DCF_NKE'!$B$3*(1+'DCF_NKE'!$B$4)^5*(1+0.01)*('DCF_NKE'!$B$5*(1-'DCF_NKE'!$B$6)+'DCF_NKE'!$B$7-'DCF_NKE'!$B$8)-'DCF_NKE'!$B$3*(1+'DCF_NKE'!$B$4)^5*0.01*'DCF_NKE'!$B$9)/(0.095-0.01)/(1+0.095)^5-'DCF_NKE'!$B$13)/'DCF_NKE'!$B$12)</f>
        <v>28.954454445615635</v>
      </c>
      <c r="D14" s="7">
        <f>((('DCF_NKE'!$B$3*(1+'DCF_NKE'!$B$4)^1*('DCF_NKE'!$B$5*(1-'DCF_NKE'!$B$6)+'DCF_NKE'!$B$7-'DCF_NKE'!$B$8)-'DCF_NKE'!$B$3*(1+'DCF_NKE'!$B$4)^0*'DCF_NKE'!$B$4*'DCF_NKE'!$B$9)/(1+0.095)^1+('DCF_NKE'!$B$3*(1+'DCF_NKE'!$B$4)^2*('DCF_NKE'!$B$5*(1-'DCF_NKE'!$B$6)+'DCF_NKE'!$B$7-'DCF_NKE'!$B$8)-'DCF_NKE'!$B$3*(1+'DCF_NKE'!$B$4)^1*'DCF_NKE'!$B$4*'DCF_NKE'!$B$9)/(1+0.095)^2+('DCF_NKE'!$B$3*(1+'DCF_NKE'!$B$4)^3*('DCF_NKE'!$B$5*(1-'DCF_NKE'!$B$6)+'DCF_NKE'!$B$7-'DCF_NKE'!$B$8)-'DCF_NKE'!$B$3*(1+'DCF_NKE'!$B$4)^2*'DCF_NKE'!$B$4*'DCF_NKE'!$B$9)/(1+0.095)^3+('DCF_NKE'!$B$3*(1+'DCF_NKE'!$B$4)^4*('DCF_NKE'!$B$5*(1-'DCF_NKE'!$B$6)+'DCF_NKE'!$B$7-'DCF_NKE'!$B$8)-'DCF_NKE'!$B$3*(1+'DCF_NKE'!$B$4)^3*'DCF_NKE'!$B$4*'DCF_NKE'!$B$9)/(1+0.095)^4+('DCF_NKE'!$B$3*(1+'DCF_NKE'!$B$4)^5*('DCF_NKE'!$B$5*(1-'DCF_NKE'!$B$6)+'DCF_NKE'!$B$7-'DCF_NKE'!$B$8)-'DCF_NKE'!$B$3*(1+'DCF_NKE'!$B$4)^4*'DCF_NKE'!$B$4*'DCF_NKE'!$B$9)/(1+0.095)^5+('DCF_NKE'!$B$3*(1+'DCF_NKE'!$B$4)^5*(1+0.015)*('DCF_NKE'!$B$5*(1-'DCF_NKE'!$B$6)+'DCF_NKE'!$B$7-'DCF_NKE'!$B$8)-'DCF_NKE'!$B$3*(1+'DCF_NKE'!$B$4)^5*0.015*'DCF_NKE'!$B$9)/(0.095-0.015)/(1+0.095)^5-'DCF_NKE'!$B$13)/'DCF_NKE'!$B$12)</f>
        <v>30.121485637314812</v>
      </c>
      <c r="E14" s="7">
        <f>((('DCF_NKE'!$B$3*(1+'DCF_NKE'!$B$4)^1*('DCF_NKE'!$B$5*(1-'DCF_NKE'!$B$6)+'DCF_NKE'!$B$7-'DCF_NKE'!$B$8)-'DCF_NKE'!$B$3*(1+'DCF_NKE'!$B$4)^0*'DCF_NKE'!$B$4*'DCF_NKE'!$B$9)/(1+0.095)^1+('DCF_NKE'!$B$3*(1+'DCF_NKE'!$B$4)^2*('DCF_NKE'!$B$5*(1-'DCF_NKE'!$B$6)+'DCF_NKE'!$B$7-'DCF_NKE'!$B$8)-'DCF_NKE'!$B$3*(1+'DCF_NKE'!$B$4)^1*'DCF_NKE'!$B$4*'DCF_NKE'!$B$9)/(1+0.095)^2+('DCF_NKE'!$B$3*(1+'DCF_NKE'!$B$4)^3*('DCF_NKE'!$B$5*(1-'DCF_NKE'!$B$6)+'DCF_NKE'!$B$7-'DCF_NKE'!$B$8)-'DCF_NKE'!$B$3*(1+'DCF_NKE'!$B$4)^2*'DCF_NKE'!$B$4*'DCF_NKE'!$B$9)/(1+0.095)^3+('DCF_NKE'!$B$3*(1+'DCF_NKE'!$B$4)^4*('DCF_NKE'!$B$5*(1-'DCF_NKE'!$B$6)+'DCF_NKE'!$B$7-'DCF_NKE'!$B$8)-'DCF_NKE'!$B$3*(1+'DCF_NKE'!$B$4)^3*'DCF_NKE'!$B$4*'DCF_NKE'!$B$9)/(1+0.095)^4+('DCF_NKE'!$B$3*(1+'DCF_NKE'!$B$4)^5*('DCF_NKE'!$B$5*(1-'DCF_NKE'!$B$6)+'DCF_NKE'!$B$7-'DCF_NKE'!$B$8)-'DCF_NKE'!$B$3*(1+'DCF_NKE'!$B$4)^4*'DCF_NKE'!$B$4*'DCF_NKE'!$B$9)/(1+0.095)^5+('DCF_NKE'!$B$3*(1+'DCF_NKE'!$B$4)^5*(1+0.02)*('DCF_NKE'!$B$5*(1-'DCF_NKE'!$B$6)+'DCF_NKE'!$B$7-'DCF_NKE'!$B$8)-'DCF_NKE'!$B$3*(1+'DCF_NKE'!$B$4)^5*0.02*'DCF_NKE'!$B$9)/(0.095-0.02)/(1+0.095)^5-'DCF_NKE'!$B$13)/'DCF_NKE'!$B$12)</f>
        <v>31.444120987907223</v>
      </c>
      <c r="F14" s="7">
        <f>((('DCF_NKE'!$B$3*(1+'DCF_NKE'!$B$4)^1*('DCF_NKE'!$B$5*(1-'DCF_NKE'!$B$6)+'DCF_NKE'!$B$7-'DCF_NKE'!$B$8)-'DCF_NKE'!$B$3*(1+'DCF_NKE'!$B$4)^0*'DCF_NKE'!$B$4*'DCF_NKE'!$B$9)/(1+0.095)^1+('DCF_NKE'!$B$3*(1+'DCF_NKE'!$B$4)^2*('DCF_NKE'!$B$5*(1-'DCF_NKE'!$B$6)+'DCF_NKE'!$B$7-'DCF_NKE'!$B$8)-'DCF_NKE'!$B$3*(1+'DCF_NKE'!$B$4)^1*'DCF_NKE'!$B$4*'DCF_NKE'!$B$9)/(1+0.095)^2+('DCF_NKE'!$B$3*(1+'DCF_NKE'!$B$4)^3*('DCF_NKE'!$B$5*(1-'DCF_NKE'!$B$6)+'DCF_NKE'!$B$7-'DCF_NKE'!$B$8)-'DCF_NKE'!$B$3*(1+'DCF_NKE'!$B$4)^2*'DCF_NKE'!$B$4*'DCF_NKE'!$B$9)/(1+0.095)^3+('DCF_NKE'!$B$3*(1+'DCF_NKE'!$B$4)^4*('DCF_NKE'!$B$5*(1-'DCF_NKE'!$B$6)+'DCF_NKE'!$B$7-'DCF_NKE'!$B$8)-'DCF_NKE'!$B$3*(1+'DCF_NKE'!$B$4)^3*'DCF_NKE'!$B$4*'DCF_NKE'!$B$9)/(1+0.095)^4+('DCF_NKE'!$B$3*(1+'DCF_NKE'!$B$4)^5*('DCF_NKE'!$B$5*(1-'DCF_NKE'!$B$6)+'DCF_NKE'!$B$7-'DCF_NKE'!$B$8)-'DCF_NKE'!$B$3*(1+'DCF_NKE'!$B$4)^4*'DCF_NKE'!$B$4*'DCF_NKE'!$B$9)/(1+0.095)^5+('DCF_NKE'!$B$3*(1+'DCF_NKE'!$B$4)^5*(1+0.025)*('DCF_NKE'!$B$5*(1-'DCF_NKE'!$B$6)+'DCF_NKE'!$B$7-'DCF_NKE'!$B$8)-'DCF_NKE'!$B$3*(1+'DCF_NKE'!$B$4)^5*0.025*'DCF_NKE'!$B$9)/(0.095-0.025)/(1+0.095)^5-'DCF_NKE'!$B$13)/'DCF_NKE'!$B$12)</f>
        <v>32.955704245727105</v>
      </c>
      <c r="G14" s="7">
        <f>((('DCF_NKE'!$B$3*(1+'DCF_NKE'!$B$4)^1*('DCF_NKE'!$B$5*(1-'DCF_NKE'!$B$6)+'DCF_NKE'!$B$7-'DCF_NKE'!$B$8)-'DCF_NKE'!$B$3*(1+'DCF_NKE'!$B$4)^0*'DCF_NKE'!$B$4*'DCF_NKE'!$B$9)/(1+0.095)^1+('DCF_NKE'!$B$3*(1+'DCF_NKE'!$B$4)^2*('DCF_NKE'!$B$5*(1-'DCF_NKE'!$B$6)+'DCF_NKE'!$B$7-'DCF_NKE'!$B$8)-'DCF_NKE'!$B$3*(1+'DCF_NKE'!$B$4)^1*'DCF_NKE'!$B$4*'DCF_NKE'!$B$9)/(1+0.095)^2+('DCF_NKE'!$B$3*(1+'DCF_NKE'!$B$4)^3*('DCF_NKE'!$B$5*(1-'DCF_NKE'!$B$6)+'DCF_NKE'!$B$7-'DCF_NKE'!$B$8)-'DCF_NKE'!$B$3*(1+'DCF_NKE'!$B$4)^2*'DCF_NKE'!$B$4*'DCF_NKE'!$B$9)/(1+0.095)^3+('DCF_NKE'!$B$3*(1+'DCF_NKE'!$B$4)^4*('DCF_NKE'!$B$5*(1-'DCF_NKE'!$B$6)+'DCF_NKE'!$B$7-'DCF_NKE'!$B$8)-'DCF_NKE'!$B$3*(1+'DCF_NKE'!$B$4)^3*'DCF_NKE'!$B$4*'DCF_NKE'!$B$9)/(1+0.095)^4+('DCF_NKE'!$B$3*(1+'DCF_NKE'!$B$4)^5*('DCF_NKE'!$B$5*(1-'DCF_NKE'!$B$6)+'DCF_NKE'!$B$7-'DCF_NKE'!$B$8)-'DCF_NKE'!$B$3*(1+'DCF_NKE'!$B$4)^4*'DCF_NKE'!$B$4*'DCF_NKE'!$B$9)/(1+0.095)^5+('DCF_NKE'!$B$3*(1+'DCF_NKE'!$B$4)^5*(1+0.03)*('DCF_NKE'!$B$5*(1-'DCF_NKE'!$B$6)+'DCF_NKE'!$B$7-'DCF_NKE'!$B$8)-'DCF_NKE'!$B$3*(1+'DCF_NKE'!$B$4)^5*0.03*'DCF_NKE'!$B$9)/(0.095-0.03)/(1+0.095)^5-'DCF_NKE'!$B$13)/'DCF_NKE'!$B$12)</f>
        <v>34.69983877398083</v>
      </c>
    </row>
    <row r="15" spans="1:7" x14ac:dyDescent="0.25">
      <c r="A15" s="4" t="s">
        <v>833</v>
      </c>
      <c r="B15" s="5">
        <v>0.1</v>
      </c>
      <c r="C15" s="7">
        <f>((('DCF_NKE'!$B$3*(1+'DCF_NKE'!$B$4)^1*('DCF_NKE'!$B$5*(1-'DCF_NKE'!$B$6)+'DCF_NKE'!$B$7-'DCF_NKE'!$B$8)-'DCF_NKE'!$B$3*(1+'DCF_NKE'!$B$4)^0*'DCF_NKE'!$B$4*'DCF_NKE'!$B$9)/(1+0.1)^1+('DCF_NKE'!$B$3*(1+'DCF_NKE'!$B$4)^2*('DCF_NKE'!$B$5*(1-'DCF_NKE'!$B$6)+'DCF_NKE'!$B$7-'DCF_NKE'!$B$8)-'DCF_NKE'!$B$3*(1+'DCF_NKE'!$B$4)^1*'DCF_NKE'!$B$4*'DCF_NKE'!$B$9)/(1+0.1)^2+('DCF_NKE'!$B$3*(1+'DCF_NKE'!$B$4)^3*('DCF_NKE'!$B$5*(1-'DCF_NKE'!$B$6)+'DCF_NKE'!$B$7-'DCF_NKE'!$B$8)-'DCF_NKE'!$B$3*(1+'DCF_NKE'!$B$4)^2*'DCF_NKE'!$B$4*'DCF_NKE'!$B$9)/(1+0.1)^3+('DCF_NKE'!$B$3*(1+'DCF_NKE'!$B$4)^4*('DCF_NKE'!$B$5*(1-'DCF_NKE'!$B$6)+'DCF_NKE'!$B$7-'DCF_NKE'!$B$8)-'DCF_NKE'!$B$3*(1+'DCF_NKE'!$B$4)^3*'DCF_NKE'!$B$4*'DCF_NKE'!$B$9)/(1+0.1)^4+('DCF_NKE'!$B$3*(1+'DCF_NKE'!$B$4)^5*('DCF_NKE'!$B$5*(1-'DCF_NKE'!$B$6)+'DCF_NKE'!$B$7-'DCF_NKE'!$B$8)-'DCF_NKE'!$B$3*(1+'DCF_NKE'!$B$4)^4*'DCF_NKE'!$B$4*'DCF_NKE'!$B$9)/(1+0.1)^5+('DCF_NKE'!$B$3*(1+'DCF_NKE'!$B$4)^5*(1+0.01)*('DCF_NKE'!$B$5*(1-'DCF_NKE'!$B$6)+'DCF_NKE'!$B$7-'DCF_NKE'!$B$8)-'DCF_NKE'!$B$3*(1+'DCF_NKE'!$B$4)^5*0.01*'DCF_NKE'!$B$9)/(0.1-0.01)/(1+0.1)^5-'DCF_NKE'!$B$13)/'DCF_NKE'!$B$12)</f>
        <v>27.350096959533225</v>
      </c>
      <c r="D15" s="7">
        <f>((('DCF_NKE'!$B$3*(1+'DCF_NKE'!$B$4)^1*('DCF_NKE'!$B$5*(1-'DCF_NKE'!$B$6)+'DCF_NKE'!$B$7-'DCF_NKE'!$B$8)-'DCF_NKE'!$B$3*(1+'DCF_NKE'!$B$4)^0*'DCF_NKE'!$B$4*'DCF_NKE'!$B$9)/(1+0.1)^1+('DCF_NKE'!$B$3*(1+'DCF_NKE'!$B$4)^2*('DCF_NKE'!$B$5*(1-'DCF_NKE'!$B$6)+'DCF_NKE'!$B$7-'DCF_NKE'!$B$8)-'DCF_NKE'!$B$3*(1+'DCF_NKE'!$B$4)^1*'DCF_NKE'!$B$4*'DCF_NKE'!$B$9)/(1+0.1)^2+('DCF_NKE'!$B$3*(1+'DCF_NKE'!$B$4)^3*('DCF_NKE'!$B$5*(1-'DCF_NKE'!$B$6)+'DCF_NKE'!$B$7-'DCF_NKE'!$B$8)-'DCF_NKE'!$B$3*(1+'DCF_NKE'!$B$4)^2*'DCF_NKE'!$B$4*'DCF_NKE'!$B$9)/(1+0.1)^3+('DCF_NKE'!$B$3*(1+'DCF_NKE'!$B$4)^4*('DCF_NKE'!$B$5*(1-'DCF_NKE'!$B$6)+'DCF_NKE'!$B$7-'DCF_NKE'!$B$8)-'DCF_NKE'!$B$3*(1+'DCF_NKE'!$B$4)^3*'DCF_NKE'!$B$4*'DCF_NKE'!$B$9)/(1+0.1)^4+('DCF_NKE'!$B$3*(1+'DCF_NKE'!$B$4)^5*('DCF_NKE'!$B$5*(1-'DCF_NKE'!$B$6)+'DCF_NKE'!$B$7-'DCF_NKE'!$B$8)-'DCF_NKE'!$B$3*(1+'DCF_NKE'!$B$4)^4*'DCF_NKE'!$B$4*'DCF_NKE'!$B$9)/(1+0.1)^5+('DCF_NKE'!$B$3*(1+'DCF_NKE'!$B$4)^5*(1+0.015)*('DCF_NKE'!$B$5*(1-'DCF_NKE'!$B$6)+'DCF_NKE'!$B$7-'DCF_NKE'!$B$8)-'DCF_NKE'!$B$3*(1+'DCF_NKE'!$B$4)^5*0.015*'DCF_NKE'!$B$9)/(0.1-0.015)/(1+0.1)^5-'DCF_NKE'!$B$13)/'DCF_NKE'!$B$12)</f>
        <v>28.361829916105545</v>
      </c>
      <c r="E15" s="7">
        <f>((('DCF_NKE'!$B$3*(1+'DCF_NKE'!$B$4)^1*('DCF_NKE'!$B$5*(1-'DCF_NKE'!$B$6)+'DCF_NKE'!$B$7-'DCF_NKE'!$B$8)-'DCF_NKE'!$B$3*(1+'DCF_NKE'!$B$4)^0*'DCF_NKE'!$B$4*'DCF_NKE'!$B$9)/(1+0.1)^1+('DCF_NKE'!$B$3*(1+'DCF_NKE'!$B$4)^2*('DCF_NKE'!$B$5*(1-'DCF_NKE'!$B$6)+'DCF_NKE'!$B$7-'DCF_NKE'!$B$8)-'DCF_NKE'!$B$3*(1+'DCF_NKE'!$B$4)^1*'DCF_NKE'!$B$4*'DCF_NKE'!$B$9)/(1+0.1)^2+('DCF_NKE'!$B$3*(1+'DCF_NKE'!$B$4)^3*('DCF_NKE'!$B$5*(1-'DCF_NKE'!$B$6)+'DCF_NKE'!$B$7-'DCF_NKE'!$B$8)-'DCF_NKE'!$B$3*(1+'DCF_NKE'!$B$4)^2*'DCF_NKE'!$B$4*'DCF_NKE'!$B$9)/(1+0.1)^3+('DCF_NKE'!$B$3*(1+'DCF_NKE'!$B$4)^4*('DCF_NKE'!$B$5*(1-'DCF_NKE'!$B$6)+'DCF_NKE'!$B$7-'DCF_NKE'!$B$8)-'DCF_NKE'!$B$3*(1+'DCF_NKE'!$B$4)^3*'DCF_NKE'!$B$4*'DCF_NKE'!$B$9)/(1+0.1)^4+('DCF_NKE'!$B$3*(1+'DCF_NKE'!$B$4)^5*('DCF_NKE'!$B$5*(1-'DCF_NKE'!$B$6)+'DCF_NKE'!$B$7-'DCF_NKE'!$B$8)-'DCF_NKE'!$B$3*(1+'DCF_NKE'!$B$4)^4*'DCF_NKE'!$B$4*'DCF_NKE'!$B$9)/(1+0.1)^5+('DCF_NKE'!$B$3*(1+'DCF_NKE'!$B$4)^5*(1+0.02)*('DCF_NKE'!$B$5*(1-'DCF_NKE'!$B$6)+'DCF_NKE'!$B$7-'DCF_NKE'!$B$8)-'DCF_NKE'!$B$3*(1+'DCF_NKE'!$B$4)^5*0.02*'DCF_NKE'!$B$9)/(0.1-0.02)/(1+0.1)^5-'DCF_NKE'!$B$13)/'DCF_NKE'!$B$12)</f>
        <v>29.500029492249407</v>
      </c>
      <c r="F15" s="7">
        <f>((('DCF_NKE'!$B$3*(1+'DCF_NKE'!$B$4)^1*('DCF_NKE'!$B$5*(1-'DCF_NKE'!$B$6)+'DCF_NKE'!$B$7-'DCF_NKE'!$B$8)-'DCF_NKE'!$B$3*(1+'DCF_NKE'!$B$4)^0*'DCF_NKE'!$B$4*'DCF_NKE'!$B$9)/(1+0.1)^1+('DCF_NKE'!$B$3*(1+'DCF_NKE'!$B$4)^2*('DCF_NKE'!$B$5*(1-'DCF_NKE'!$B$6)+'DCF_NKE'!$B$7-'DCF_NKE'!$B$8)-'DCF_NKE'!$B$3*(1+'DCF_NKE'!$B$4)^1*'DCF_NKE'!$B$4*'DCF_NKE'!$B$9)/(1+0.1)^2+('DCF_NKE'!$B$3*(1+'DCF_NKE'!$B$4)^3*('DCF_NKE'!$B$5*(1-'DCF_NKE'!$B$6)+'DCF_NKE'!$B$7-'DCF_NKE'!$B$8)-'DCF_NKE'!$B$3*(1+'DCF_NKE'!$B$4)^2*'DCF_NKE'!$B$4*'DCF_NKE'!$B$9)/(1+0.1)^3+('DCF_NKE'!$B$3*(1+'DCF_NKE'!$B$4)^4*('DCF_NKE'!$B$5*(1-'DCF_NKE'!$B$6)+'DCF_NKE'!$B$7-'DCF_NKE'!$B$8)-'DCF_NKE'!$B$3*(1+'DCF_NKE'!$B$4)^3*'DCF_NKE'!$B$4*'DCF_NKE'!$B$9)/(1+0.1)^4+('DCF_NKE'!$B$3*(1+'DCF_NKE'!$B$4)^5*('DCF_NKE'!$B$5*(1-'DCF_NKE'!$B$6)+'DCF_NKE'!$B$7-'DCF_NKE'!$B$8)-'DCF_NKE'!$B$3*(1+'DCF_NKE'!$B$4)^4*'DCF_NKE'!$B$4*'DCF_NKE'!$B$9)/(1+0.1)^5+('DCF_NKE'!$B$3*(1+'DCF_NKE'!$B$4)^5*(1+0.025)*('DCF_NKE'!$B$5*(1-'DCF_NKE'!$B$6)+'DCF_NKE'!$B$7-'DCF_NKE'!$B$8)-'DCF_NKE'!$B$3*(1+'DCF_NKE'!$B$4)^5*0.025*'DCF_NKE'!$B$9)/(0.1-0.025)/(1+0.1)^5-'DCF_NKE'!$B$13)/'DCF_NKE'!$B$12)</f>
        <v>30.789989011879108</v>
      </c>
      <c r="G15" s="7">
        <f>((('DCF_NKE'!$B$3*(1+'DCF_NKE'!$B$4)^1*('DCF_NKE'!$B$5*(1-'DCF_NKE'!$B$6)+'DCF_NKE'!$B$7-'DCF_NKE'!$B$8)-'DCF_NKE'!$B$3*(1+'DCF_NKE'!$B$4)^0*'DCF_NKE'!$B$4*'DCF_NKE'!$B$9)/(1+0.1)^1+('DCF_NKE'!$B$3*(1+'DCF_NKE'!$B$4)^2*('DCF_NKE'!$B$5*(1-'DCF_NKE'!$B$6)+'DCF_NKE'!$B$7-'DCF_NKE'!$B$8)-'DCF_NKE'!$B$3*(1+'DCF_NKE'!$B$4)^1*'DCF_NKE'!$B$4*'DCF_NKE'!$B$9)/(1+0.1)^2+('DCF_NKE'!$B$3*(1+'DCF_NKE'!$B$4)^3*('DCF_NKE'!$B$5*(1-'DCF_NKE'!$B$6)+'DCF_NKE'!$B$7-'DCF_NKE'!$B$8)-'DCF_NKE'!$B$3*(1+'DCF_NKE'!$B$4)^2*'DCF_NKE'!$B$4*'DCF_NKE'!$B$9)/(1+0.1)^3+('DCF_NKE'!$B$3*(1+'DCF_NKE'!$B$4)^4*('DCF_NKE'!$B$5*(1-'DCF_NKE'!$B$6)+'DCF_NKE'!$B$7-'DCF_NKE'!$B$8)-'DCF_NKE'!$B$3*(1+'DCF_NKE'!$B$4)^3*'DCF_NKE'!$B$4*'DCF_NKE'!$B$9)/(1+0.1)^4+('DCF_NKE'!$B$3*(1+'DCF_NKE'!$B$4)^5*('DCF_NKE'!$B$5*(1-'DCF_NKE'!$B$6)+'DCF_NKE'!$B$7-'DCF_NKE'!$B$8)-'DCF_NKE'!$B$3*(1+'DCF_NKE'!$B$4)^4*'DCF_NKE'!$B$4*'DCF_NKE'!$B$9)/(1+0.1)^5+('DCF_NKE'!$B$3*(1+'DCF_NKE'!$B$4)^5*(1+0.03)*('DCF_NKE'!$B$5*(1-'DCF_NKE'!$B$6)+'DCF_NKE'!$B$7-'DCF_NKE'!$B$8)-'DCF_NKE'!$B$3*(1+'DCF_NKE'!$B$4)^5*0.03*'DCF_NKE'!$B$9)/(0.1-0.03)/(1+0.1)^5-'DCF_NKE'!$B$13)/'DCF_NKE'!$B$12)</f>
        <v>32.26422846288449</v>
      </c>
    </row>
    <row r="16" spans="1:7" x14ac:dyDescent="0.25">
      <c r="A16" s="4" t="s">
        <v>833</v>
      </c>
      <c r="B16" s="5">
        <v>0.10500000000000001</v>
      </c>
      <c r="C16" s="7">
        <f>((('DCF_NKE'!$B$3*(1+'DCF_NKE'!$B$4)^1*('DCF_NKE'!$B$5*(1-'DCF_NKE'!$B$6)+'DCF_NKE'!$B$7-'DCF_NKE'!$B$8)-'DCF_NKE'!$B$3*(1+'DCF_NKE'!$B$4)^0*'DCF_NKE'!$B$4*'DCF_NKE'!$B$9)/(1+0.10500000000000001)^1+('DCF_NKE'!$B$3*(1+'DCF_NKE'!$B$4)^2*('DCF_NKE'!$B$5*(1-'DCF_NKE'!$B$6)+'DCF_NKE'!$B$7-'DCF_NKE'!$B$8)-'DCF_NKE'!$B$3*(1+'DCF_NKE'!$B$4)^1*'DCF_NKE'!$B$4*'DCF_NKE'!$B$9)/(1+0.10500000000000001)^2+('DCF_NKE'!$B$3*(1+'DCF_NKE'!$B$4)^3*('DCF_NKE'!$B$5*(1-'DCF_NKE'!$B$6)+'DCF_NKE'!$B$7-'DCF_NKE'!$B$8)-'DCF_NKE'!$B$3*(1+'DCF_NKE'!$B$4)^2*'DCF_NKE'!$B$4*'DCF_NKE'!$B$9)/(1+0.10500000000000001)^3+('DCF_NKE'!$B$3*(1+'DCF_NKE'!$B$4)^4*('DCF_NKE'!$B$5*(1-'DCF_NKE'!$B$6)+'DCF_NKE'!$B$7-'DCF_NKE'!$B$8)-'DCF_NKE'!$B$3*(1+'DCF_NKE'!$B$4)^3*'DCF_NKE'!$B$4*'DCF_NKE'!$B$9)/(1+0.10500000000000001)^4+('DCF_NKE'!$B$3*(1+'DCF_NKE'!$B$4)^5*('DCF_NKE'!$B$5*(1-'DCF_NKE'!$B$6)+'DCF_NKE'!$B$7-'DCF_NKE'!$B$8)-'DCF_NKE'!$B$3*(1+'DCF_NKE'!$B$4)^4*'DCF_NKE'!$B$4*'DCF_NKE'!$B$9)/(1+0.10500000000000001)^5+('DCF_NKE'!$B$3*(1+'DCF_NKE'!$B$4)^5*(1+0.01)*('DCF_NKE'!$B$5*(1-'DCF_NKE'!$B$6)+'DCF_NKE'!$B$7-'DCF_NKE'!$B$8)-'DCF_NKE'!$B$3*(1+'DCF_NKE'!$B$4)^5*0.01*'DCF_NKE'!$B$9)/(0.10500000000000001-0.01)/(1+0.10500000000000001)^5-'DCF_NKE'!$B$13)/'DCF_NKE'!$B$12)</f>
        <v>25.915356321219733</v>
      </c>
      <c r="D16" s="7">
        <f>((('DCF_NKE'!$B$3*(1+'DCF_NKE'!$B$4)^1*('DCF_NKE'!$B$5*(1-'DCF_NKE'!$B$6)+'DCF_NKE'!$B$7-'DCF_NKE'!$B$8)-'DCF_NKE'!$B$3*(1+'DCF_NKE'!$B$4)^0*'DCF_NKE'!$B$4*'DCF_NKE'!$B$9)/(1+0.10500000000000001)^1+('DCF_NKE'!$B$3*(1+'DCF_NKE'!$B$4)^2*('DCF_NKE'!$B$5*(1-'DCF_NKE'!$B$6)+'DCF_NKE'!$B$7-'DCF_NKE'!$B$8)-'DCF_NKE'!$B$3*(1+'DCF_NKE'!$B$4)^1*'DCF_NKE'!$B$4*'DCF_NKE'!$B$9)/(1+0.10500000000000001)^2+('DCF_NKE'!$B$3*(1+'DCF_NKE'!$B$4)^3*('DCF_NKE'!$B$5*(1-'DCF_NKE'!$B$6)+'DCF_NKE'!$B$7-'DCF_NKE'!$B$8)-'DCF_NKE'!$B$3*(1+'DCF_NKE'!$B$4)^2*'DCF_NKE'!$B$4*'DCF_NKE'!$B$9)/(1+0.10500000000000001)^3+('DCF_NKE'!$B$3*(1+'DCF_NKE'!$B$4)^4*('DCF_NKE'!$B$5*(1-'DCF_NKE'!$B$6)+'DCF_NKE'!$B$7-'DCF_NKE'!$B$8)-'DCF_NKE'!$B$3*(1+'DCF_NKE'!$B$4)^3*'DCF_NKE'!$B$4*'DCF_NKE'!$B$9)/(1+0.10500000000000001)^4+('DCF_NKE'!$B$3*(1+'DCF_NKE'!$B$4)^5*('DCF_NKE'!$B$5*(1-'DCF_NKE'!$B$6)+'DCF_NKE'!$B$7-'DCF_NKE'!$B$8)-'DCF_NKE'!$B$3*(1+'DCF_NKE'!$B$4)^4*'DCF_NKE'!$B$4*'DCF_NKE'!$B$9)/(1+0.10500000000000001)^5+('DCF_NKE'!$B$3*(1+'DCF_NKE'!$B$4)^5*(1+0.015)*('DCF_NKE'!$B$5*(1-'DCF_NKE'!$B$6)+'DCF_NKE'!$B$7-'DCF_NKE'!$B$8)-'DCF_NKE'!$B$3*(1+'DCF_NKE'!$B$4)^5*0.015*'DCF_NKE'!$B$9)/(0.10500000000000001-0.015)/(1+0.10500000000000001)^5-'DCF_NKE'!$B$13)/'DCF_NKE'!$B$12)</f>
        <v>26.79831394771707</v>
      </c>
      <c r="E16" s="7">
        <f>((('DCF_NKE'!$B$3*(1+'DCF_NKE'!$B$4)^1*('DCF_NKE'!$B$5*(1-'DCF_NKE'!$B$6)+'DCF_NKE'!$B$7-'DCF_NKE'!$B$8)-'DCF_NKE'!$B$3*(1+'DCF_NKE'!$B$4)^0*'DCF_NKE'!$B$4*'DCF_NKE'!$B$9)/(1+0.10500000000000001)^1+('DCF_NKE'!$B$3*(1+'DCF_NKE'!$B$4)^2*('DCF_NKE'!$B$5*(1-'DCF_NKE'!$B$6)+'DCF_NKE'!$B$7-'DCF_NKE'!$B$8)-'DCF_NKE'!$B$3*(1+'DCF_NKE'!$B$4)^1*'DCF_NKE'!$B$4*'DCF_NKE'!$B$9)/(1+0.10500000000000001)^2+('DCF_NKE'!$B$3*(1+'DCF_NKE'!$B$4)^3*('DCF_NKE'!$B$5*(1-'DCF_NKE'!$B$6)+'DCF_NKE'!$B$7-'DCF_NKE'!$B$8)-'DCF_NKE'!$B$3*(1+'DCF_NKE'!$B$4)^2*'DCF_NKE'!$B$4*'DCF_NKE'!$B$9)/(1+0.10500000000000001)^3+('DCF_NKE'!$B$3*(1+'DCF_NKE'!$B$4)^4*('DCF_NKE'!$B$5*(1-'DCF_NKE'!$B$6)+'DCF_NKE'!$B$7-'DCF_NKE'!$B$8)-'DCF_NKE'!$B$3*(1+'DCF_NKE'!$B$4)^3*'DCF_NKE'!$B$4*'DCF_NKE'!$B$9)/(1+0.10500000000000001)^4+('DCF_NKE'!$B$3*(1+'DCF_NKE'!$B$4)^5*('DCF_NKE'!$B$5*(1-'DCF_NKE'!$B$6)+'DCF_NKE'!$B$7-'DCF_NKE'!$B$8)-'DCF_NKE'!$B$3*(1+'DCF_NKE'!$B$4)^4*'DCF_NKE'!$B$4*'DCF_NKE'!$B$9)/(1+0.10500000000000001)^5+('DCF_NKE'!$B$3*(1+'DCF_NKE'!$B$4)^5*(1+0.02)*('DCF_NKE'!$B$5*(1-'DCF_NKE'!$B$6)+'DCF_NKE'!$B$7-'DCF_NKE'!$B$8)-'DCF_NKE'!$B$3*(1+'DCF_NKE'!$B$4)^5*0.02*'DCF_NKE'!$B$9)/(0.10500000000000001-0.02)/(1+0.10500000000000001)^5-'DCF_NKE'!$B$13)/'DCF_NKE'!$B$12)</f>
        <v>27.78514894203762</v>
      </c>
      <c r="F16" s="7">
        <f>((('DCF_NKE'!$B$3*(1+'DCF_NKE'!$B$4)^1*('DCF_NKE'!$B$5*(1-'DCF_NKE'!$B$6)+'DCF_NKE'!$B$7-'DCF_NKE'!$B$8)-'DCF_NKE'!$B$3*(1+'DCF_NKE'!$B$4)^0*'DCF_NKE'!$B$4*'DCF_NKE'!$B$9)/(1+0.10500000000000001)^1+('DCF_NKE'!$B$3*(1+'DCF_NKE'!$B$4)^2*('DCF_NKE'!$B$5*(1-'DCF_NKE'!$B$6)+'DCF_NKE'!$B$7-'DCF_NKE'!$B$8)-'DCF_NKE'!$B$3*(1+'DCF_NKE'!$B$4)^1*'DCF_NKE'!$B$4*'DCF_NKE'!$B$9)/(1+0.10500000000000001)^2+('DCF_NKE'!$B$3*(1+'DCF_NKE'!$B$4)^3*('DCF_NKE'!$B$5*(1-'DCF_NKE'!$B$6)+'DCF_NKE'!$B$7-'DCF_NKE'!$B$8)-'DCF_NKE'!$B$3*(1+'DCF_NKE'!$B$4)^2*'DCF_NKE'!$B$4*'DCF_NKE'!$B$9)/(1+0.10500000000000001)^3+('DCF_NKE'!$B$3*(1+'DCF_NKE'!$B$4)^4*('DCF_NKE'!$B$5*(1-'DCF_NKE'!$B$6)+'DCF_NKE'!$B$7-'DCF_NKE'!$B$8)-'DCF_NKE'!$B$3*(1+'DCF_NKE'!$B$4)^3*'DCF_NKE'!$B$4*'DCF_NKE'!$B$9)/(1+0.10500000000000001)^4+('DCF_NKE'!$B$3*(1+'DCF_NKE'!$B$4)^5*('DCF_NKE'!$B$5*(1-'DCF_NKE'!$B$6)+'DCF_NKE'!$B$7-'DCF_NKE'!$B$8)-'DCF_NKE'!$B$3*(1+'DCF_NKE'!$B$4)^4*'DCF_NKE'!$B$4*'DCF_NKE'!$B$9)/(1+0.10500000000000001)^5+('DCF_NKE'!$B$3*(1+'DCF_NKE'!$B$4)^5*(1+0.025)*('DCF_NKE'!$B$5*(1-'DCF_NKE'!$B$6)+'DCF_NKE'!$B$7-'DCF_NKE'!$B$8)-'DCF_NKE'!$B$3*(1+'DCF_NKE'!$B$4)^5*0.025*'DCF_NKE'!$B$9)/(0.10500000000000001-0.025)/(1+0.10500000000000001)^5-'DCF_NKE'!$B$13)/'DCF_NKE'!$B$12)</f>
        <v>28.895338310648235</v>
      </c>
      <c r="G16" s="7">
        <f>((('DCF_NKE'!$B$3*(1+'DCF_NKE'!$B$4)^1*('DCF_NKE'!$B$5*(1-'DCF_NKE'!$B$6)+'DCF_NKE'!$B$7-'DCF_NKE'!$B$8)-'DCF_NKE'!$B$3*(1+'DCF_NKE'!$B$4)^0*'DCF_NKE'!$B$4*'DCF_NKE'!$B$9)/(1+0.10500000000000001)^1+('DCF_NKE'!$B$3*(1+'DCF_NKE'!$B$4)^2*('DCF_NKE'!$B$5*(1-'DCF_NKE'!$B$6)+'DCF_NKE'!$B$7-'DCF_NKE'!$B$8)-'DCF_NKE'!$B$3*(1+'DCF_NKE'!$B$4)^1*'DCF_NKE'!$B$4*'DCF_NKE'!$B$9)/(1+0.10500000000000001)^2+('DCF_NKE'!$B$3*(1+'DCF_NKE'!$B$4)^3*('DCF_NKE'!$B$5*(1-'DCF_NKE'!$B$6)+'DCF_NKE'!$B$7-'DCF_NKE'!$B$8)-'DCF_NKE'!$B$3*(1+'DCF_NKE'!$B$4)^2*'DCF_NKE'!$B$4*'DCF_NKE'!$B$9)/(1+0.10500000000000001)^3+('DCF_NKE'!$B$3*(1+'DCF_NKE'!$B$4)^4*('DCF_NKE'!$B$5*(1-'DCF_NKE'!$B$6)+'DCF_NKE'!$B$7-'DCF_NKE'!$B$8)-'DCF_NKE'!$B$3*(1+'DCF_NKE'!$B$4)^3*'DCF_NKE'!$B$4*'DCF_NKE'!$B$9)/(1+0.10500000000000001)^4+('DCF_NKE'!$B$3*(1+'DCF_NKE'!$B$4)^5*('DCF_NKE'!$B$5*(1-'DCF_NKE'!$B$6)+'DCF_NKE'!$B$7-'DCF_NKE'!$B$8)-'DCF_NKE'!$B$3*(1+'DCF_NKE'!$B$4)^4*'DCF_NKE'!$B$4*'DCF_NKE'!$B$9)/(1+0.10500000000000001)^5+('DCF_NKE'!$B$3*(1+'DCF_NKE'!$B$4)^5*(1+0.03)*('DCF_NKE'!$B$5*(1-'DCF_NKE'!$B$6)+'DCF_NKE'!$B$7-'DCF_NKE'!$B$8)-'DCF_NKE'!$B$3*(1+'DCF_NKE'!$B$4)^5*0.03*'DCF_NKE'!$B$9)/(0.10500000000000001-0.03)/(1+0.10500000000000001)^5-'DCF_NKE'!$B$13)/'DCF_NKE'!$B$12)</f>
        <v>30.153552928406945</v>
      </c>
    </row>
    <row r="17" spans="1:7" x14ac:dyDescent="0.25">
      <c r="A17" s="4" t="s">
        <v>833</v>
      </c>
      <c r="B17" s="5">
        <v>0.11</v>
      </c>
      <c r="C17" s="7">
        <f>((('DCF_NKE'!$B$3*(1+'DCF_NKE'!$B$4)^1*('DCF_NKE'!$B$5*(1-'DCF_NKE'!$B$6)+'DCF_NKE'!$B$7-'DCF_NKE'!$B$8)-'DCF_NKE'!$B$3*(1+'DCF_NKE'!$B$4)^0*'DCF_NKE'!$B$4*'DCF_NKE'!$B$9)/(1+0.11)^1+('DCF_NKE'!$B$3*(1+'DCF_NKE'!$B$4)^2*('DCF_NKE'!$B$5*(1-'DCF_NKE'!$B$6)+'DCF_NKE'!$B$7-'DCF_NKE'!$B$8)-'DCF_NKE'!$B$3*(1+'DCF_NKE'!$B$4)^1*'DCF_NKE'!$B$4*'DCF_NKE'!$B$9)/(1+0.11)^2+('DCF_NKE'!$B$3*(1+'DCF_NKE'!$B$4)^3*('DCF_NKE'!$B$5*(1-'DCF_NKE'!$B$6)+'DCF_NKE'!$B$7-'DCF_NKE'!$B$8)-'DCF_NKE'!$B$3*(1+'DCF_NKE'!$B$4)^2*'DCF_NKE'!$B$4*'DCF_NKE'!$B$9)/(1+0.11)^3+('DCF_NKE'!$B$3*(1+'DCF_NKE'!$B$4)^4*('DCF_NKE'!$B$5*(1-'DCF_NKE'!$B$6)+'DCF_NKE'!$B$7-'DCF_NKE'!$B$8)-'DCF_NKE'!$B$3*(1+'DCF_NKE'!$B$4)^3*'DCF_NKE'!$B$4*'DCF_NKE'!$B$9)/(1+0.11)^4+('DCF_NKE'!$B$3*(1+'DCF_NKE'!$B$4)^5*('DCF_NKE'!$B$5*(1-'DCF_NKE'!$B$6)+'DCF_NKE'!$B$7-'DCF_NKE'!$B$8)-'DCF_NKE'!$B$3*(1+'DCF_NKE'!$B$4)^4*'DCF_NKE'!$B$4*'DCF_NKE'!$B$9)/(1+0.11)^5+('DCF_NKE'!$B$3*(1+'DCF_NKE'!$B$4)^5*(1+0.01)*('DCF_NKE'!$B$5*(1-'DCF_NKE'!$B$6)+'DCF_NKE'!$B$7-'DCF_NKE'!$B$8)-'DCF_NKE'!$B$3*(1+'DCF_NKE'!$B$4)^5*0.01*'DCF_NKE'!$B$9)/(0.11-0.01)/(1+0.11)^5-'DCF_NKE'!$B$13)/'DCF_NKE'!$B$12)</f>
        <v>24.624770936905012</v>
      </c>
      <c r="D17" s="7">
        <f>((('DCF_NKE'!$B$3*(1+'DCF_NKE'!$B$4)^1*('DCF_NKE'!$B$5*(1-'DCF_NKE'!$B$6)+'DCF_NKE'!$B$7-'DCF_NKE'!$B$8)-'DCF_NKE'!$B$3*(1+'DCF_NKE'!$B$4)^0*'DCF_NKE'!$B$4*'DCF_NKE'!$B$9)/(1+0.11)^1+('DCF_NKE'!$B$3*(1+'DCF_NKE'!$B$4)^2*('DCF_NKE'!$B$5*(1-'DCF_NKE'!$B$6)+'DCF_NKE'!$B$7-'DCF_NKE'!$B$8)-'DCF_NKE'!$B$3*(1+'DCF_NKE'!$B$4)^1*'DCF_NKE'!$B$4*'DCF_NKE'!$B$9)/(1+0.11)^2+('DCF_NKE'!$B$3*(1+'DCF_NKE'!$B$4)^3*('DCF_NKE'!$B$5*(1-'DCF_NKE'!$B$6)+'DCF_NKE'!$B$7-'DCF_NKE'!$B$8)-'DCF_NKE'!$B$3*(1+'DCF_NKE'!$B$4)^2*'DCF_NKE'!$B$4*'DCF_NKE'!$B$9)/(1+0.11)^3+('DCF_NKE'!$B$3*(1+'DCF_NKE'!$B$4)^4*('DCF_NKE'!$B$5*(1-'DCF_NKE'!$B$6)+'DCF_NKE'!$B$7-'DCF_NKE'!$B$8)-'DCF_NKE'!$B$3*(1+'DCF_NKE'!$B$4)^3*'DCF_NKE'!$B$4*'DCF_NKE'!$B$9)/(1+0.11)^4+('DCF_NKE'!$B$3*(1+'DCF_NKE'!$B$4)^5*('DCF_NKE'!$B$5*(1-'DCF_NKE'!$B$6)+'DCF_NKE'!$B$7-'DCF_NKE'!$B$8)-'DCF_NKE'!$B$3*(1+'DCF_NKE'!$B$4)^4*'DCF_NKE'!$B$4*'DCF_NKE'!$B$9)/(1+0.11)^5+('DCF_NKE'!$B$3*(1+'DCF_NKE'!$B$4)^5*(1+0.015)*('DCF_NKE'!$B$5*(1-'DCF_NKE'!$B$6)+'DCF_NKE'!$B$7-'DCF_NKE'!$B$8)-'DCF_NKE'!$B$3*(1+'DCF_NKE'!$B$4)^5*0.015*'DCF_NKE'!$B$9)/(0.11-0.015)/(1+0.11)^5-'DCF_NKE'!$B$13)/'DCF_NKE'!$B$12)</f>
        <v>25.39995224140521</v>
      </c>
      <c r="E17" s="7">
        <f>((('DCF_NKE'!$B$3*(1+'DCF_NKE'!$B$4)^1*('DCF_NKE'!$B$5*(1-'DCF_NKE'!$B$6)+'DCF_NKE'!$B$7-'DCF_NKE'!$B$8)-'DCF_NKE'!$B$3*(1+'DCF_NKE'!$B$4)^0*'DCF_NKE'!$B$4*'DCF_NKE'!$B$9)/(1+0.11)^1+('DCF_NKE'!$B$3*(1+'DCF_NKE'!$B$4)^2*('DCF_NKE'!$B$5*(1-'DCF_NKE'!$B$6)+'DCF_NKE'!$B$7-'DCF_NKE'!$B$8)-'DCF_NKE'!$B$3*(1+'DCF_NKE'!$B$4)^1*'DCF_NKE'!$B$4*'DCF_NKE'!$B$9)/(1+0.11)^2+('DCF_NKE'!$B$3*(1+'DCF_NKE'!$B$4)^3*('DCF_NKE'!$B$5*(1-'DCF_NKE'!$B$6)+'DCF_NKE'!$B$7-'DCF_NKE'!$B$8)-'DCF_NKE'!$B$3*(1+'DCF_NKE'!$B$4)^2*'DCF_NKE'!$B$4*'DCF_NKE'!$B$9)/(1+0.11)^3+('DCF_NKE'!$B$3*(1+'DCF_NKE'!$B$4)^4*('DCF_NKE'!$B$5*(1-'DCF_NKE'!$B$6)+'DCF_NKE'!$B$7-'DCF_NKE'!$B$8)-'DCF_NKE'!$B$3*(1+'DCF_NKE'!$B$4)^3*'DCF_NKE'!$B$4*'DCF_NKE'!$B$9)/(1+0.11)^4+('DCF_NKE'!$B$3*(1+'DCF_NKE'!$B$4)^5*('DCF_NKE'!$B$5*(1-'DCF_NKE'!$B$6)+'DCF_NKE'!$B$7-'DCF_NKE'!$B$8)-'DCF_NKE'!$B$3*(1+'DCF_NKE'!$B$4)^4*'DCF_NKE'!$B$4*'DCF_NKE'!$B$9)/(1+0.11)^5+('DCF_NKE'!$B$3*(1+'DCF_NKE'!$B$4)^5*(1+0.02)*('DCF_NKE'!$B$5*(1-'DCF_NKE'!$B$6)+'DCF_NKE'!$B$7-'DCF_NKE'!$B$8)-'DCF_NKE'!$B$3*(1+'DCF_NKE'!$B$4)^5*0.02*'DCF_NKE'!$B$9)/(0.11-0.02)/(1+0.11)^5-'DCF_NKE'!$B$13)/'DCF_NKE'!$B$12)</f>
        <v>26.261264801960976</v>
      </c>
      <c r="F17" s="7">
        <f>((('DCF_NKE'!$B$3*(1+'DCF_NKE'!$B$4)^1*('DCF_NKE'!$B$5*(1-'DCF_NKE'!$B$6)+'DCF_NKE'!$B$7-'DCF_NKE'!$B$8)-'DCF_NKE'!$B$3*(1+'DCF_NKE'!$B$4)^0*'DCF_NKE'!$B$4*'DCF_NKE'!$B$9)/(1+0.11)^1+('DCF_NKE'!$B$3*(1+'DCF_NKE'!$B$4)^2*('DCF_NKE'!$B$5*(1-'DCF_NKE'!$B$6)+'DCF_NKE'!$B$7-'DCF_NKE'!$B$8)-'DCF_NKE'!$B$3*(1+'DCF_NKE'!$B$4)^1*'DCF_NKE'!$B$4*'DCF_NKE'!$B$9)/(1+0.11)^2+('DCF_NKE'!$B$3*(1+'DCF_NKE'!$B$4)^3*('DCF_NKE'!$B$5*(1-'DCF_NKE'!$B$6)+'DCF_NKE'!$B$7-'DCF_NKE'!$B$8)-'DCF_NKE'!$B$3*(1+'DCF_NKE'!$B$4)^2*'DCF_NKE'!$B$4*'DCF_NKE'!$B$9)/(1+0.11)^3+('DCF_NKE'!$B$3*(1+'DCF_NKE'!$B$4)^4*('DCF_NKE'!$B$5*(1-'DCF_NKE'!$B$6)+'DCF_NKE'!$B$7-'DCF_NKE'!$B$8)-'DCF_NKE'!$B$3*(1+'DCF_NKE'!$B$4)^3*'DCF_NKE'!$B$4*'DCF_NKE'!$B$9)/(1+0.11)^4+('DCF_NKE'!$B$3*(1+'DCF_NKE'!$B$4)^5*('DCF_NKE'!$B$5*(1-'DCF_NKE'!$B$6)+'DCF_NKE'!$B$7-'DCF_NKE'!$B$8)-'DCF_NKE'!$B$3*(1+'DCF_NKE'!$B$4)^4*'DCF_NKE'!$B$4*'DCF_NKE'!$B$9)/(1+0.11)^5+('DCF_NKE'!$B$3*(1+'DCF_NKE'!$B$4)^5*(1+0.025)*('DCF_NKE'!$B$5*(1-'DCF_NKE'!$B$6)+'DCF_NKE'!$B$7-'DCF_NKE'!$B$8)-'DCF_NKE'!$B$3*(1+'DCF_NKE'!$B$4)^5*0.025*'DCF_NKE'!$B$9)/(0.11-0.025)/(1+0.11)^5-'DCF_NKE'!$B$13)/'DCF_NKE'!$B$12)</f>
        <v>27.223908251993898</v>
      </c>
      <c r="G17" s="7">
        <f>((('DCF_NKE'!$B$3*(1+'DCF_NKE'!$B$4)^1*('DCF_NKE'!$B$5*(1-'DCF_NKE'!$B$6)+'DCF_NKE'!$B$7-'DCF_NKE'!$B$8)-'DCF_NKE'!$B$3*(1+'DCF_NKE'!$B$4)^0*'DCF_NKE'!$B$4*'DCF_NKE'!$B$9)/(1+0.11)^1+('DCF_NKE'!$B$3*(1+'DCF_NKE'!$B$4)^2*('DCF_NKE'!$B$5*(1-'DCF_NKE'!$B$6)+'DCF_NKE'!$B$7-'DCF_NKE'!$B$8)-'DCF_NKE'!$B$3*(1+'DCF_NKE'!$B$4)^1*'DCF_NKE'!$B$4*'DCF_NKE'!$B$9)/(1+0.11)^2+('DCF_NKE'!$B$3*(1+'DCF_NKE'!$B$4)^3*('DCF_NKE'!$B$5*(1-'DCF_NKE'!$B$6)+'DCF_NKE'!$B$7-'DCF_NKE'!$B$8)-'DCF_NKE'!$B$3*(1+'DCF_NKE'!$B$4)^2*'DCF_NKE'!$B$4*'DCF_NKE'!$B$9)/(1+0.11)^3+('DCF_NKE'!$B$3*(1+'DCF_NKE'!$B$4)^4*('DCF_NKE'!$B$5*(1-'DCF_NKE'!$B$6)+'DCF_NKE'!$B$7-'DCF_NKE'!$B$8)-'DCF_NKE'!$B$3*(1+'DCF_NKE'!$B$4)^3*'DCF_NKE'!$B$4*'DCF_NKE'!$B$9)/(1+0.11)^4+('DCF_NKE'!$B$3*(1+'DCF_NKE'!$B$4)^5*('DCF_NKE'!$B$5*(1-'DCF_NKE'!$B$6)+'DCF_NKE'!$B$7-'DCF_NKE'!$B$8)-'DCF_NKE'!$B$3*(1+'DCF_NKE'!$B$4)^4*'DCF_NKE'!$B$4*'DCF_NKE'!$B$9)/(1+0.11)^5+('DCF_NKE'!$B$3*(1+'DCF_NKE'!$B$4)^5*(1+0.03)*('DCF_NKE'!$B$5*(1-'DCF_NKE'!$B$6)+'DCF_NKE'!$B$7-'DCF_NKE'!$B$8)-'DCF_NKE'!$B$3*(1+'DCF_NKE'!$B$4)^5*0.03*'DCF_NKE'!$B$9)/(0.11-0.03)/(1+0.11)^5-'DCF_NKE'!$B$13)/'DCF_NKE'!$B$12)</f>
        <v>28.30688213328093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6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12" width="21" customWidth="1"/>
  </cols>
  <sheetData>
    <row r="1" ht="25" customHeight="1" spans="1:1" s="1" customFormat="1" x14ac:dyDescent="0.25">
      <c r="A1" s="1" t="s">
        <v>0</v>
      </c>
    </row>
    <row r="2" spans="1:4" s="2" customFormat="1" x14ac:dyDescent="0.25">
      <c r="A2" s="3" t="s">
        <v>27</v>
      </c>
      <c r="B2" s="3" t="s">
        <v>1232</v>
      </c>
      <c r="C2" s="3" t="s">
        <v>1233</v>
      </c>
      <c r="D2" s="3" t="s">
        <v>35</v>
      </c>
    </row>
    <row r="3" spans="1:4" x14ac:dyDescent="0.25">
      <c r="A3" s="4" t="s">
        <v>54</v>
      </c>
      <c r="C3" s="4" t="str">
        <f>IF(OR(B3="",B3&lt;=0),"N/A",IF(OR(B3&lt;((('DCF_ADBE'!$B$3*(1+-0.45)^1*('DCF_ADBE'!$B$5*(1-'DCF_ADBE'!$B$6)+'DCF_ADBE'!$B$7-'DCF_ADBE'!$B$8)-'DCF_ADBE'!$B$3*(1+-0.45)^0*-0.45*'DCF_ADBE'!$B$9)/(1+'DCF_ADBE'!$B$10)^1+('DCF_ADBE'!$B$3*(1+-0.45)^2*('DCF_ADBE'!$B$5*(1-'DCF_ADBE'!$B$6)+'DCF_ADBE'!$B$7-'DCF_ADBE'!$B$8)-'DCF_ADBE'!$B$3*(1+-0.45)^1*-0.45*'DCF_ADBE'!$B$9)/(1+'DCF_ADBE'!$B$10)^2+('DCF_ADBE'!$B$3*(1+-0.45)^3*('DCF_ADBE'!$B$5*(1-'DCF_ADBE'!$B$6)+'DCF_ADBE'!$B$7-'DCF_ADBE'!$B$8)-'DCF_ADBE'!$B$3*(1+-0.45)^2*-0.45*'DCF_ADBE'!$B$9)/(1+'DCF_ADBE'!$B$10)^3+('DCF_ADBE'!$B$3*(1+-0.45)^4*('DCF_ADBE'!$B$5*(1-'DCF_ADBE'!$B$6)+'DCF_ADBE'!$B$7-'DCF_ADBE'!$B$8)-'DCF_ADBE'!$B$3*(1+-0.45)^3*-0.45*'DCF_ADBE'!$B$9)/(1+'DCF_ADBE'!$B$10)^4+('DCF_ADBE'!$B$3*(1+-0.45)^5*('DCF_ADBE'!$B$5*(1-'DCF_ADBE'!$B$6)+'DCF_ADBE'!$B$7-'DCF_ADBE'!$B$8)-'DCF_ADBE'!$B$3*(1+-0.45)^4*-0.45*'DCF_ADBE'!$B$9)/(1+'DCF_ADBE'!$B$10)^5+('DCF_ADBE'!$B$3*(1+-0.45)^5*(1+'DCF_ADBE'!$B$11)*('DCF_ADBE'!$B$5*(1-'DCF_ADBE'!$B$6)+'DCF_ADBE'!$B$7-'DCF_ADBE'!$B$8)-'DCF_ADBE'!$B$3*(1+-0.45)^5*'DCF_ADBE'!$B$11*'DCF_ADBE'!$B$9)/('DCF_ADBE'!$B$10-'DCF_ADBE'!$B$11)/(1+'DCF_ADBE'!$B$10)^5-'DCF_ADBE'!$B$13)/'DCF_ADBE'!$B$12),B3&gt;((('DCF_ADBE'!$B$3*(1+0.5)^1*('DCF_ADBE'!$B$5*(1-'DCF_ADBE'!$B$6)+'DCF_ADBE'!$B$7-'DCF_ADBE'!$B$8)-'DCF_ADBE'!$B$3*(1+0.5)^0*0.5*'DCF_ADBE'!$B$9)/(1+'DCF_ADBE'!$B$10)^1+('DCF_ADBE'!$B$3*(1+0.5)^2*('DCF_ADBE'!$B$5*(1-'DCF_ADBE'!$B$6)+'DCF_ADBE'!$B$7-'DCF_ADBE'!$B$8)-'DCF_ADBE'!$B$3*(1+0.5)^1*0.5*'DCF_ADBE'!$B$9)/(1+'DCF_ADBE'!$B$10)^2+('DCF_ADBE'!$B$3*(1+0.5)^3*('DCF_ADBE'!$B$5*(1-'DCF_ADBE'!$B$6)+'DCF_ADBE'!$B$7-'DCF_ADBE'!$B$8)-'DCF_ADBE'!$B$3*(1+0.5)^2*0.5*'DCF_ADBE'!$B$9)/(1+'DCF_ADBE'!$B$10)^3+('DCF_ADBE'!$B$3*(1+0.5)^4*('DCF_ADBE'!$B$5*(1-'DCF_ADBE'!$B$6)+'DCF_ADBE'!$B$7-'DCF_ADBE'!$B$8)-'DCF_ADBE'!$B$3*(1+0.5)^3*0.5*'DCF_ADBE'!$B$9)/(1+'DCF_ADBE'!$B$10)^4+('DCF_ADBE'!$B$3*(1+0.5)^5*('DCF_ADBE'!$B$5*(1-'DCF_ADBE'!$B$6)+'DCF_ADBE'!$B$7-'DCF_ADBE'!$B$8)-'DCF_ADBE'!$B$3*(1+0.5)^4*0.5*'DCF_ADBE'!$B$9)/(1+'DCF_ADBE'!$B$10)^5+('DCF_ADBE'!$B$3*(1+0.5)^5*(1+'DCF_ADBE'!$B$11)*('DCF_ADBE'!$B$5*(1-'DCF_ADBE'!$B$6)+'DCF_ADBE'!$B$7-'DCF_ADBE'!$B$8)-'DCF_ADBE'!$B$3*(1+0.5)^5*'DCF_ADBE'!$B$11*'DCF_ADBE'!$B$9)/('DCF_ADBE'!$B$10-'DCF_ADBE'!$B$11)/(1+'DCF_ADBE'!$B$10)^5-'DCF_ADBE'!$B$13)/'DCF_ADBE'!$B$12)),"N/A",D68))</f>
        <v>N/A</v>
      </c>
      <c r="D3" s="4" t="s">
        <v>1234</v>
      </c>
    </row>
    <row r="4" spans="1:4" x14ac:dyDescent="0.25">
      <c r="A4" s="4" t="s">
        <v>890</v>
      </c>
      <c r="C4" s="4" t="str">
        <f>IF(OR(B4="",B4&lt;=0),"N/A",IF(OR(B4&lt;((('DCF_PYPL'!$B$3*(1+-0.45)^1*('DCF_PYPL'!$B$5*(1-'DCF_PYPL'!$B$6)+'DCF_PYPL'!$B$7-'DCF_PYPL'!$B$8)-'DCF_PYPL'!$B$3*(1+-0.45)^0*-0.45*'DCF_PYPL'!$B$9)/(1+'DCF_PYPL'!$B$10)^1+('DCF_PYPL'!$B$3*(1+-0.45)^2*('DCF_PYPL'!$B$5*(1-'DCF_PYPL'!$B$6)+'DCF_PYPL'!$B$7-'DCF_PYPL'!$B$8)-'DCF_PYPL'!$B$3*(1+-0.45)^1*-0.45*'DCF_PYPL'!$B$9)/(1+'DCF_PYPL'!$B$10)^2+('DCF_PYPL'!$B$3*(1+-0.45)^3*('DCF_PYPL'!$B$5*(1-'DCF_PYPL'!$B$6)+'DCF_PYPL'!$B$7-'DCF_PYPL'!$B$8)-'DCF_PYPL'!$B$3*(1+-0.45)^2*-0.45*'DCF_PYPL'!$B$9)/(1+'DCF_PYPL'!$B$10)^3+('DCF_PYPL'!$B$3*(1+-0.45)^4*('DCF_PYPL'!$B$5*(1-'DCF_PYPL'!$B$6)+'DCF_PYPL'!$B$7-'DCF_PYPL'!$B$8)-'DCF_PYPL'!$B$3*(1+-0.45)^3*-0.45*'DCF_PYPL'!$B$9)/(1+'DCF_PYPL'!$B$10)^4+('DCF_PYPL'!$B$3*(1+-0.45)^5*('DCF_PYPL'!$B$5*(1-'DCF_PYPL'!$B$6)+'DCF_PYPL'!$B$7-'DCF_PYPL'!$B$8)-'DCF_PYPL'!$B$3*(1+-0.45)^4*-0.45*'DCF_PYPL'!$B$9)/(1+'DCF_PYPL'!$B$10)^5+('DCF_PYPL'!$B$3*(1+-0.45)^5*(1+'DCF_PYPL'!$B$11)*('DCF_PYPL'!$B$5*(1-'DCF_PYPL'!$B$6)+'DCF_PYPL'!$B$7-'DCF_PYPL'!$B$8)-'DCF_PYPL'!$B$3*(1+-0.45)^5*'DCF_PYPL'!$B$11*'DCF_PYPL'!$B$9)/('DCF_PYPL'!$B$10-'DCF_PYPL'!$B$11)/(1+'DCF_PYPL'!$B$10)^5-'DCF_PYPL'!$B$13)/'DCF_PYPL'!$B$12),B4&gt;((('DCF_PYPL'!$B$3*(1+0.5)^1*('DCF_PYPL'!$B$5*(1-'DCF_PYPL'!$B$6)+'DCF_PYPL'!$B$7-'DCF_PYPL'!$B$8)-'DCF_PYPL'!$B$3*(1+0.5)^0*0.5*'DCF_PYPL'!$B$9)/(1+'DCF_PYPL'!$B$10)^1+('DCF_PYPL'!$B$3*(1+0.5)^2*('DCF_PYPL'!$B$5*(1-'DCF_PYPL'!$B$6)+'DCF_PYPL'!$B$7-'DCF_PYPL'!$B$8)-'DCF_PYPL'!$B$3*(1+0.5)^1*0.5*'DCF_PYPL'!$B$9)/(1+'DCF_PYPL'!$B$10)^2+('DCF_PYPL'!$B$3*(1+0.5)^3*('DCF_PYPL'!$B$5*(1-'DCF_PYPL'!$B$6)+'DCF_PYPL'!$B$7-'DCF_PYPL'!$B$8)-'DCF_PYPL'!$B$3*(1+0.5)^2*0.5*'DCF_PYPL'!$B$9)/(1+'DCF_PYPL'!$B$10)^3+('DCF_PYPL'!$B$3*(1+0.5)^4*('DCF_PYPL'!$B$5*(1-'DCF_PYPL'!$B$6)+'DCF_PYPL'!$B$7-'DCF_PYPL'!$B$8)-'DCF_PYPL'!$B$3*(1+0.5)^3*0.5*'DCF_PYPL'!$B$9)/(1+'DCF_PYPL'!$B$10)^4+('DCF_PYPL'!$B$3*(1+0.5)^5*('DCF_PYPL'!$B$5*(1-'DCF_PYPL'!$B$6)+'DCF_PYPL'!$B$7-'DCF_PYPL'!$B$8)-'DCF_PYPL'!$B$3*(1+0.5)^4*0.5*'DCF_PYPL'!$B$9)/(1+'DCF_PYPL'!$B$10)^5+('DCF_PYPL'!$B$3*(1+0.5)^5*(1+'DCF_PYPL'!$B$11)*('DCF_PYPL'!$B$5*(1-'DCF_PYPL'!$B$6)+'DCF_PYPL'!$B$7-'DCF_PYPL'!$B$8)-'DCF_PYPL'!$B$3*(1+0.5)^5*'DCF_PYPL'!$B$11*'DCF_PYPL'!$B$9)/('DCF_PYPL'!$B$10-'DCF_PYPL'!$B$11)/(1+'DCF_PYPL'!$B$10)^5-'DCF_PYPL'!$B$13)/'DCF_PYPL'!$B$12)),"N/A",D132))</f>
        <v>N/A</v>
      </c>
      <c r="D4" s="4" t="s">
        <v>1234</v>
      </c>
    </row>
    <row r="5" spans="1:4" x14ac:dyDescent="0.25">
      <c r="A5" s="4" t="s">
        <v>833</v>
      </c>
      <c r="C5" s="4" t="str">
        <f>IF(OR(B5="",B5&lt;=0),"N/A",IF(OR(B5&lt;((('DCF_NKE'!$B$3*(1+-0.45)^1*('DCF_NKE'!$B$5*(1-'DCF_NKE'!$B$6)+'DCF_NKE'!$B$7-'DCF_NKE'!$B$8)-'DCF_NKE'!$B$3*(1+-0.45)^0*-0.45*'DCF_NKE'!$B$9)/(1+'DCF_NKE'!$B$10)^1+('DCF_NKE'!$B$3*(1+-0.45)^2*('DCF_NKE'!$B$5*(1-'DCF_NKE'!$B$6)+'DCF_NKE'!$B$7-'DCF_NKE'!$B$8)-'DCF_NKE'!$B$3*(1+-0.45)^1*-0.45*'DCF_NKE'!$B$9)/(1+'DCF_NKE'!$B$10)^2+('DCF_NKE'!$B$3*(1+-0.45)^3*('DCF_NKE'!$B$5*(1-'DCF_NKE'!$B$6)+'DCF_NKE'!$B$7-'DCF_NKE'!$B$8)-'DCF_NKE'!$B$3*(1+-0.45)^2*-0.45*'DCF_NKE'!$B$9)/(1+'DCF_NKE'!$B$10)^3+('DCF_NKE'!$B$3*(1+-0.45)^4*('DCF_NKE'!$B$5*(1-'DCF_NKE'!$B$6)+'DCF_NKE'!$B$7-'DCF_NKE'!$B$8)-'DCF_NKE'!$B$3*(1+-0.45)^3*-0.45*'DCF_NKE'!$B$9)/(1+'DCF_NKE'!$B$10)^4+('DCF_NKE'!$B$3*(1+-0.45)^5*('DCF_NKE'!$B$5*(1-'DCF_NKE'!$B$6)+'DCF_NKE'!$B$7-'DCF_NKE'!$B$8)-'DCF_NKE'!$B$3*(1+-0.45)^4*-0.45*'DCF_NKE'!$B$9)/(1+'DCF_NKE'!$B$10)^5+('DCF_NKE'!$B$3*(1+-0.45)^5*(1+'DCF_NKE'!$B$11)*('DCF_NKE'!$B$5*(1-'DCF_NKE'!$B$6)+'DCF_NKE'!$B$7-'DCF_NKE'!$B$8)-'DCF_NKE'!$B$3*(1+-0.45)^5*'DCF_NKE'!$B$11*'DCF_NKE'!$B$9)/('DCF_NKE'!$B$10-'DCF_NKE'!$B$11)/(1+'DCF_NKE'!$B$10)^5-'DCF_NKE'!$B$13)/'DCF_NKE'!$B$12),B5&gt;((('DCF_NKE'!$B$3*(1+0.5)^1*('DCF_NKE'!$B$5*(1-'DCF_NKE'!$B$6)+'DCF_NKE'!$B$7-'DCF_NKE'!$B$8)-'DCF_NKE'!$B$3*(1+0.5)^0*0.5*'DCF_NKE'!$B$9)/(1+'DCF_NKE'!$B$10)^1+('DCF_NKE'!$B$3*(1+0.5)^2*('DCF_NKE'!$B$5*(1-'DCF_NKE'!$B$6)+'DCF_NKE'!$B$7-'DCF_NKE'!$B$8)-'DCF_NKE'!$B$3*(1+0.5)^1*0.5*'DCF_NKE'!$B$9)/(1+'DCF_NKE'!$B$10)^2+('DCF_NKE'!$B$3*(1+0.5)^3*('DCF_NKE'!$B$5*(1-'DCF_NKE'!$B$6)+'DCF_NKE'!$B$7-'DCF_NKE'!$B$8)-'DCF_NKE'!$B$3*(1+0.5)^2*0.5*'DCF_NKE'!$B$9)/(1+'DCF_NKE'!$B$10)^3+('DCF_NKE'!$B$3*(1+0.5)^4*('DCF_NKE'!$B$5*(1-'DCF_NKE'!$B$6)+'DCF_NKE'!$B$7-'DCF_NKE'!$B$8)-'DCF_NKE'!$B$3*(1+0.5)^3*0.5*'DCF_NKE'!$B$9)/(1+'DCF_NKE'!$B$10)^4+('DCF_NKE'!$B$3*(1+0.5)^5*('DCF_NKE'!$B$5*(1-'DCF_NKE'!$B$6)+'DCF_NKE'!$B$7-'DCF_NKE'!$B$8)-'DCF_NKE'!$B$3*(1+0.5)^4*0.5*'DCF_NKE'!$B$9)/(1+'DCF_NKE'!$B$10)^5+('DCF_NKE'!$B$3*(1+0.5)^5*(1+'DCF_NKE'!$B$11)*('DCF_NKE'!$B$5*(1-'DCF_NKE'!$B$6)+'DCF_NKE'!$B$7-'DCF_NKE'!$B$8)-'DCF_NKE'!$B$3*(1+0.5)^5*'DCF_NKE'!$B$11*'DCF_NKE'!$B$9)/('DCF_NKE'!$B$10-'DCF_NKE'!$B$11)/(1+'DCF_NKE'!$B$10)^5-'DCF_NKE'!$B$13)/'DCF_NKE'!$B$12)),"N/A",D196))</f>
        <v>N/A</v>
      </c>
      <c r="D5" s="4" t="s">
        <v>1234</v>
      </c>
    </row>
    <row r="8" spans="1:5" x14ac:dyDescent="0.25">
      <c r="A8" s="4" t="s">
        <v>54</v>
      </c>
      <c r="B8" s="4" t="s">
        <v>1235</v>
      </c>
      <c r="C8" s="4" t="s">
        <v>1236</v>
      </c>
      <c r="D8" s="4" t="s">
        <v>1237</v>
      </c>
      <c r="E8" s="4" t="s">
        <v>1238</v>
      </c>
    </row>
    <row r="9" spans="1:5" x14ac:dyDescent="0.25">
      <c r="A9" s="4">
        <v>1</v>
      </c>
      <c r="B9" s="4">
        <v>-0.45</v>
      </c>
      <c r="C9" s="4">
        <v>0.5</v>
      </c>
      <c r="D9" s="4" t="str">
        <f>IF($B$3="","",(B9+C9)/2)</f>
        <v/>
      </c>
      <c r="E9" s="4" t="str">
        <f>IF($B$3="","",((('DCF_ADBE'!$B$3*(1+D9)^1*('DCF_ADBE'!$B$5*(1-'DCF_ADBE'!$B$6)+'DCF_ADBE'!$B$7-'DCF_ADBE'!$B$8)-'DCF_ADBE'!$B$3*(1+D9)^0*D9*'DCF_ADBE'!$B$9)/(1+'DCF_ADBE'!$B$10)^1+('DCF_ADBE'!$B$3*(1+D9)^2*('DCF_ADBE'!$B$5*(1-'DCF_ADBE'!$B$6)+'DCF_ADBE'!$B$7-'DCF_ADBE'!$B$8)-'DCF_ADBE'!$B$3*(1+D9)^1*D9*'DCF_ADBE'!$B$9)/(1+'DCF_ADBE'!$B$10)^2+('DCF_ADBE'!$B$3*(1+D9)^3*('DCF_ADBE'!$B$5*(1-'DCF_ADBE'!$B$6)+'DCF_ADBE'!$B$7-'DCF_ADBE'!$B$8)-'DCF_ADBE'!$B$3*(1+D9)^2*D9*'DCF_ADBE'!$B$9)/(1+'DCF_ADBE'!$B$10)^3+('DCF_ADBE'!$B$3*(1+D9)^4*('DCF_ADBE'!$B$5*(1-'DCF_ADBE'!$B$6)+'DCF_ADBE'!$B$7-'DCF_ADBE'!$B$8)-'DCF_ADBE'!$B$3*(1+D9)^3*D9*'DCF_ADBE'!$B$9)/(1+'DCF_ADBE'!$B$10)^4+('DCF_ADBE'!$B$3*(1+D9)^5*('DCF_ADBE'!$B$5*(1-'DCF_ADBE'!$B$6)+'DCF_ADBE'!$B$7-'DCF_ADBE'!$B$8)-'DCF_ADBE'!$B$3*(1+D9)^4*D9*'DCF_ADBE'!$B$9)/(1+'DCF_ADBE'!$B$10)^5+('DCF_ADBE'!$B$3*(1+D9)^5*(1+'DCF_ADBE'!$B$11)*('DCF_ADBE'!$B$5*(1-'DCF_ADBE'!$B$6)+'DCF_ADBE'!$B$7-'DCF_ADBE'!$B$8)-'DCF_ADBE'!$B$3*(1+D9)^5*'DCF_ADBE'!$B$11*'DCF_ADBE'!$B$9)/('DCF_ADBE'!$B$10-'DCF_ADBE'!$B$11)/(1+'DCF_ADBE'!$B$10)^5-'DCF_ADBE'!$B$13)/'DCF_ADBE'!$B$12))</f>
        <v/>
      </c>
    </row>
    <row r="10" spans="1:5" x14ac:dyDescent="0.25">
      <c r="A10" s="4">
        <v>2</v>
      </c>
      <c r="B10" s="4" t="str">
        <f>IF($B$3="","",IF(E9&lt;$B$3,D9,B9))</f>
        <v/>
      </c>
      <c r="C10" s="4" t="str">
        <f>IF($B$3="","",IF(E9&lt;$B$3,C9,D9))</f>
        <v/>
      </c>
      <c r="D10" s="4" t="str">
        <f>IF($B$3="","",(B10+C10)/2)</f>
        <v/>
      </c>
      <c r="E10" s="4" t="str">
        <f>IF($B$3="","",((('DCF_ADBE'!$B$3*(1+D10)^1*('DCF_ADBE'!$B$5*(1-'DCF_ADBE'!$B$6)+'DCF_ADBE'!$B$7-'DCF_ADBE'!$B$8)-'DCF_ADBE'!$B$3*(1+D10)^0*D10*'DCF_ADBE'!$B$9)/(1+'DCF_ADBE'!$B$10)^1+('DCF_ADBE'!$B$3*(1+D10)^2*('DCF_ADBE'!$B$5*(1-'DCF_ADBE'!$B$6)+'DCF_ADBE'!$B$7-'DCF_ADBE'!$B$8)-'DCF_ADBE'!$B$3*(1+D10)^1*D10*'DCF_ADBE'!$B$9)/(1+'DCF_ADBE'!$B$10)^2+('DCF_ADBE'!$B$3*(1+D10)^3*('DCF_ADBE'!$B$5*(1-'DCF_ADBE'!$B$6)+'DCF_ADBE'!$B$7-'DCF_ADBE'!$B$8)-'DCF_ADBE'!$B$3*(1+D10)^2*D10*'DCF_ADBE'!$B$9)/(1+'DCF_ADBE'!$B$10)^3+('DCF_ADBE'!$B$3*(1+D10)^4*('DCF_ADBE'!$B$5*(1-'DCF_ADBE'!$B$6)+'DCF_ADBE'!$B$7-'DCF_ADBE'!$B$8)-'DCF_ADBE'!$B$3*(1+D10)^3*D10*'DCF_ADBE'!$B$9)/(1+'DCF_ADBE'!$B$10)^4+('DCF_ADBE'!$B$3*(1+D10)^5*('DCF_ADBE'!$B$5*(1-'DCF_ADBE'!$B$6)+'DCF_ADBE'!$B$7-'DCF_ADBE'!$B$8)-'DCF_ADBE'!$B$3*(1+D10)^4*D10*'DCF_ADBE'!$B$9)/(1+'DCF_ADBE'!$B$10)^5+('DCF_ADBE'!$B$3*(1+D10)^5*(1+'DCF_ADBE'!$B$11)*('DCF_ADBE'!$B$5*(1-'DCF_ADBE'!$B$6)+'DCF_ADBE'!$B$7-'DCF_ADBE'!$B$8)-'DCF_ADBE'!$B$3*(1+D10)^5*'DCF_ADBE'!$B$11*'DCF_ADBE'!$B$9)/('DCF_ADBE'!$B$10-'DCF_ADBE'!$B$11)/(1+'DCF_ADBE'!$B$10)^5-'DCF_ADBE'!$B$13)/'DCF_ADBE'!$B$12))</f>
        <v/>
      </c>
    </row>
    <row r="11" spans="1:5" x14ac:dyDescent="0.25">
      <c r="A11" s="4">
        <v>3</v>
      </c>
      <c r="B11" s="4" t="str">
        <f>IF($B$3="","",IF(E10&lt;$B$3,D10,B10))</f>
        <v/>
      </c>
      <c r="C11" s="4" t="str">
        <f>IF($B$3="","",IF(E10&lt;$B$3,C10,D10))</f>
        <v/>
      </c>
      <c r="D11" s="4" t="str">
        <f>IF($B$3="","",(B11+C11)/2)</f>
        <v/>
      </c>
      <c r="E11" s="4" t="str">
        <f>IF($B$3="","",((('DCF_ADBE'!$B$3*(1+D11)^1*('DCF_ADBE'!$B$5*(1-'DCF_ADBE'!$B$6)+'DCF_ADBE'!$B$7-'DCF_ADBE'!$B$8)-'DCF_ADBE'!$B$3*(1+D11)^0*D11*'DCF_ADBE'!$B$9)/(1+'DCF_ADBE'!$B$10)^1+('DCF_ADBE'!$B$3*(1+D11)^2*('DCF_ADBE'!$B$5*(1-'DCF_ADBE'!$B$6)+'DCF_ADBE'!$B$7-'DCF_ADBE'!$B$8)-'DCF_ADBE'!$B$3*(1+D11)^1*D11*'DCF_ADBE'!$B$9)/(1+'DCF_ADBE'!$B$10)^2+('DCF_ADBE'!$B$3*(1+D11)^3*('DCF_ADBE'!$B$5*(1-'DCF_ADBE'!$B$6)+'DCF_ADBE'!$B$7-'DCF_ADBE'!$B$8)-'DCF_ADBE'!$B$3*(1+D11)^2*D11*'DCF_ADBE'!$B$9)/(1+'DCF_ADBE'!$B$10)^3+('DCF_ADBE'!$B$3*(1+D11)^4*('DCF_ADBE'!$B$5*(1-'DCF_ADBE'!$B$6)+'DCF_ADBE'!$B$7-'DCF_ADBE'!$B$8)-'DCF_ADBE'!$B$3*(1+D11)^3*D11*'DCF_ADBE'!$B$9)/(1+'DCF_ADBE'!$B$10)^4+('DCF_ADBE'!$B$3*(1+D11)^5*('DCF_ADBE'!$B$5*(1-'DCF_ADBE'!$B$6)+'DCF_ADBE'!$B$7-'DCF_ADBE'!$B$8)-'DCF_ADBE'!$B$3*(1+D11)^4*D11*'DCF_ADBE'!$B$9)/(1+'DCF_ADBE'!$B$10)^5+('DCF_ADBE'!$B$3*(1+D11)^5*(1+'DCF_ADBE'!$B$11)*('DCF_ADBE'!$B$5*(1-'DCF_ADBE'!$B$6)+'DCF_ADBE'!$B$7-'DCF_ADBE'!$B$8)-'DCF_ADBE'!$B$3*(1+D11)^5*'DCF_ADBE'!$B$11*'DCF_ADBE'!$B$9)/('DCF_ADBE'!$B$10-'DCF_ADBE'!$B$11)/(1+'DCF_ADBE'!$B$10)^5-'DCF_ADBE'!$B$13)/'DCF_ADBE'!$B$12))</f>
        <v/>
      </c>
    </row>
    <row r="12" spans="1:5" x14ac:dyDescent="0.25">
      <c r="A12" s="4">
        <v>4</v>
      </c>
      <c r="B12" s="4" t="str">
        <f>IF($B$3="","",IF(E11&lt;$B$3,D11,B11))</f>
        <v/>
      </c>
      <c r="C12" s="4" t="str">
        <f>IF($B$3="","",IF(E11&lt;$B$3,C11,D11))</f>
        <v/>
      </c>
      <c r="D12" s="4" t="str">
        <f>IF($B$3="","",(B12+C12)/2)</f>
        <v/>
      </c>
      <c r="E12" s="4" t="str">
        <f>IF($B$3="","",((('DCF_ADBE'!$B$3*(1+D12)^1*('DCF_ADBE'!$B$5*(1-'DCF_ADBE'!$B$6)+'DCF_ADBE'!$B$7-'DCF_ADBE'!$B$8)-'DCF_ADBE'!$B$3*(1+D12)^0*D12*'DCF_ADBE'!$B$9)/(1+'DCF_ADBE'!$B$10)^1+('DCF_ADBE'!$B$3*(1+D12)^2*('DCF_ADBE'!$B$5*(1-'DCF_ADBE'!$B$6)+'DCF_ADBE'!$B$7-'DCF_ADBE'!$B$8)-'DCF_ADBE'!$B$3*(1+D12)^1*D12*'DCF_ADBE'!$B$9)/(1+'DCF_ADBE'!$B$10)^2+('DCF_ADBE'!$B$3*(1+D12)^3*('DCF_ADBE'!$B$5*(1-'DCF_ADBE'!$B$6)+'DCF_ADBE'!$B$7-'DCF_ADBE'!$B$8)-'DCF_ADBE'!$B$3*(1+D12)^2*D12*'DCF_ADBE'!$B$9)/(1+'DCF_ADBE'!$B$10)^3+('DCF_ADBE'!$B$3*(1+D12)^4*('DCF_ADBE'!$B$5*(1-'DCF_ADBE'!$B$6)+'DCF_ADBE'!$B$7-'DCF_ADBE'!$B$8)-'DCF_ADBE'!$B$3*(1+D12)^3*D12*'DCF_ADBE'!$B$9)/(1+'DCF_ADBE'!$B$10)^4+('DCF_ADBE'!$B$3*(1+D12)^5*('DCF_ADBE'!$B$5*(1-'DCF_ADBE'!$B$6)+'DCF_ADBE'!$B$7-'DCF_ADBE'!$B$8)-'DCF_ADBE'!$B$3*(1+D12)^4*D12*'DCF_ADBE'!$B$9)/(1+'DCF_ADBE'!$B$10)^5+('DCF_ADBE'!$B$3*(1+D12)^5*(1+'DCF_ADBE'!$B$11)*('DCF_ADBE'!$B$5*(1-'DCF_ADBE'!$B$6)+'DCF_ADBE'!$B$7-'DCF_ADBE'!$B$8)-'DCF_ADBE'!$B$3*(1+D12)^5*'DCF_ADBE'!$B$11*'DCF_ADBE'!$B$9)/('DCF_ADBE'!$B$10-'DCF_ADBE'!$B$11)/(1+'DCF_ADBE'!$B$10)^5-'DCF_ADBE'!$B$13)/'DCF_ADBE'!$B$12))</f>
        <v/>
      </c>
    </row>
    <row r="13" spans="1:5" x14ac:dyDescent="0.25">
      <c r="A13" s="4">
        <v>5</v>
      </c>
      <c r="B13" s="4" t="str">
        <f>IF($B$3="","",IF(E12&lt;$B$3,D12,B12))</f>
        <v/>
      </c>
      <c r="C13" s="4" t="str">
        <f>IF($B$3="","",IF(E12&lt;$B$3,C12,D12))</f>
        <v/>
      </c>
      <c r="D13" s="4" t="str">
        <f>IF($B$3="","",(B13+C13)/2)</f>
        <v/>
      </c>
      <c r="E13" s="4" t="str">
        <f>IF($B$3="","",((('DCF_ADBE'!$B$3*(1+D13)^1*('DCF_ADBE'!$B$5*(1-'DCF_ADBE'!$B$6)+'DCF_ADBE'!$B$7-'DCF_ADBE'!$B$8)-'DCF_ADBE'!$B$3*(1+D13)^0*D13*'DCF_ADBE'!$B$9)/(1+'DCF_ADBE'!$B$10)^1+('DCF_ADBE'!$B$3*(1+D13)^2*('DCF_ADBE'!$B$5*(1-'DCF_ADBE'!$B$6)+'DCF_ADBE'!$B$7-'DCF_ADBE'!$B$8)-'DCF_ADBE'!$B$3*(1+D13)^1*D13*'DCF_ADBE'!$B$9)/(1+'DCF_ADBE'!$B$10)^2+('DCF_ADBE'!$B$3*(1+D13)^3*('DCF_ADBE'!$B$5*(1-'DCF_ADBE'!$B$6)+'DCF_ADBE'!$B$7-'DCF_ADBE'!$B$8)-'DCF_ADBE'!$B$3*(1+D13)^2*D13*'DCF_ADBE'!$B$9)/(1+'DCF_ADBE'!$B$10)^3+('DCF_ADBE'!$B$3*(1+D13)^4*('DCF_ADBE'!$B$5*(1-'DCF_ADBE'!$B$6)+'DCF_ADBE'!$B$7-'DCF_ADBE'!$B$8)-'DCF_ADBE'!$B$3*(1+D13)^3*D13*'DCF_ADBE'!$B$9)/(1+'DCF_ADBE'!$B$10)^4+('DCF_ADBE'!$B$3*(1+D13)^5*('DCF_ADBE'!$B$5*(1-'DCF_ADBE'!$B$6)+'DCF_ADBE'!$B$7-'DCF_ADBE'!$B$8)-'DCF_ADBE'!$B$3*(1+D13)^4*D13*'DCF_ADBE'!$B$9)/(1+'DCF_ADBE'!$B$10)^5+('DCF_ADBE'!$B$3*(1+D13)^5*(1+'DCF_ADBE'!$B$11)*('DCF_ADBE'!$B$5*(1-'DCF_ADBE'!$B$6)+'DCF_ADBE'!$B$7-'DCF_ADBE'!$B$8)-'DCF_ADBE'!$B$3*(1+D13)^5*'DCF_ADBE'!$B$11*'DCF_ADBE'!$B$9)/('DCF_ADBE'!$B$10-'DCF_ADBE'!$B$11)/(1+'DCF_ADBE'!$B$10)^5-'DCF_ADBE'!$B$13)/'DCF_ADBE'!$B$12))</f>
        <v/>
      </c>
    </row>
    <row r="14" spans="1:5" x14ac:dyDescent="0.25">
      <c r="A14" s="4">
        <v>6</v>
      </c>
      <c r="B14" s="4" t="str">
        <f>IF($B$3="","",IF(E13&lt;$B$3,D13,B13))</f>
        <v/>
      </c>
      <c r="C14" s="4" t="str">
        <f>IF($B$3="","",IF(E13&lt;$B$3,C13,D13))</f>
        <v/>
      </c>
      <c r="D14" s="4" t="str">
        <f>IF($B$3="","",(B14+C14)/2)</f>
        <v/>
      </c>
      <c r="E14" s="4" t="str">
        <f>IF($B$3="","",((('DCF_ADBE'!$B$3*(1+D14)^1*('DCF_ADBE'!$B$5*(1-'DCF_ADBE'!$B$6)+'DCF_ADBE'!$B$7-'DCF_ADBE'!$B$8)-'DCF_ADBE'!$B$3*(1+D14)^0*D14*'DCF_ADBE'!$B$9)/(1+'DCF_ADBE'!$B$10)^1+('DCF_ADBE'!$B$3*(1+D14)^2*('DCF_ADBE'!$B$5*(1-'DCF_ADBE'!$B$6)+'DCF_ADBE'!$B$7-'DCF_ADBE'!$B$8)-'DCF_ADBE'!$B$3*(1+D14)^1*D14*'DCF_ADBE'!$B$9)/(1+'DCF_ADBE'!$B$10)^2+('DCF_ADBE'!$B$3*(1+D14)^3*('DCF_ADBE'!$B$5*(1-'DCF_ADBE'!$B$6)+'DCF_ADBE'!$B$7-'DCF_ADBE'!$B$8)-'DCF_ADBE'!$B$3*(1+D14)^2*D14*'DCF_ADBE'!$B$9)/(1+'DCF_ADBE'!$B$10)^3+('DCF_ADBE'!$B$3*(1+D14)^4*('DCF_ADBE'!$B$5*(1-'DCF_ADBE'!$B$6)+'DCF_ADBE'!$B$7-'DCF_ADBE'!$B$8)-'DCF_ADBE'!$B$3*(1+D14)^3*D14*'DCF_ADBE'!$B$9)/(1+'DCF_ADBE'!$B$10)^4+('DCF_ADBE'!$B$3*(1+D14)^5*('DCF_ADBE'!$B$5*(1-'DCF_ADBE'!$B$6)+'DCF_ADBE'!$B$7-'DCF_ADBE'!$B$8)-'DCF_ADBE'!$B$3*(1+D14)^4*D14*'DCF_ADBE'!$B$9)/(1+'DCF_ADBE'!$B$10)^5+('DCF_ADBE'!$B$3*(1+D14)^5*(1+'DCF_ADBE'!$B$11)*('DCF_ADBE'!$B$5*(1-'DCF_ADBE'!$B$6)+'DCF_ADBE'!$B$7-'DCF_ADBE'!$B$8)-'DCF_ADBE'!$B$3*(1+D14)^5*'DCF_ADBE'!$B$11*'DCF_ADBE'!$B$9)/('DCF_ADBE'!$B$10-'DCF_ADBE'!$B$11)/(1+'DCF_ADBE'!$B$10)^5-'DCF_ADBE'!$B$13)/'DCF_ADBE'!$B$12))</f>
        <v/>
      </c>
    </row>
    <row r="15" spans="1:5" x14ac:dyDescent="0.25">
      <c r="A15" s="4">
        <v>7</v>
      </c>
      <c r="B15" s="4" t="str">
        <f>IF($B$3="","",IF(E14&lt;$B$3,D14,B14))</f>
        <v/>
      </c>
      <c r="C15" s="4" t="str">
        <f>IF($B$3="","",IF(E14&lt;$B$3,C14,D14))</f>
        <v/>
      </c>
      <c r="D15" s="4" t="str">
        <f>IF($B$3="","",(B15+C15)/2)</f>
        <v/>
      </c>
      <c r="E15" s="4" t="str">
        <f>IF($B$3="","",((('DCF_ADBE'!$B$3*(1+D15)^1*('DCF_ADBE'!$B$5*(1-'DCF_ADBE'!$B$6)+'DCF_ADBE'!$B$7-'DCF_ADBE'!$B$8)-'DCF_ADBE'!$B$3*(1+D15)^0*D15*'DCF_ADBE'!$B$9)/(1+'DCF_ADBE'!$B$10)^1+('DCF_ADBE'!$B$3*(1+D15)^2*('DCF_ADBE'!$B$5*(1-'DCF_ADBE'!$B$6)+'DCF_ADBE'!$B$7-'DCF_ADBE'!$B$8)-'DCF_ADBE'!$B$3*(1+D15)^1*D15*'DCF_ADBE'!$B$9)/(1+'DCF_ADBE'!$B$10)^2+('DCF_ADBE'!$B$3*(1+D15)^3*('DCF_ADBE'!$B$5*(1-'DCF_ADBE'!$B$6)+'DCF_ADBE'!$B$7-'DCF_ADBE'!$B$8)-'DCF_ADBE'!$B$3*(1+D15)^2*D15*'DCF_ADBE'!$B$9)/(1+'DCF_ADBE'!$B$10)^3+('DCF_ADBE'!$B$3*(1+D15)^4*('DCF_ADBE'!$B$5*(1-'DCF_ADBE'!$B$6)+'DCF_ADBE'!$B$7-'DCF_ADBE'!$B$8)-'DCF_ADBE'!$B$3*(1+D15)^3*D15*'DCF_ADBE'!$B$9)/(1+'DCF_ADBE'!$B$10)^4+('DCF_ADBE'!$B$3*(1+D15)^5*('DCF_ADBE'!$B$5*(1-'DCF_ADBE'!$B$6)+'DCF_ADBE'!$B$7-'DCF_ADBE'!$B$8)-'DCF_ADBE'!$B$3*(1+D15)^4*D15*'DCF_ADBE'!$B$9)/(1+'DCF_ADBE'!$B$10)^5+('DCF_ADBE'!$B$3*(1+D15)^5*(1+'DCF_ADBE'!$B$11)*('DCF_ADBE'!$B$5*(1-'DCF_ADBE'!$B$6)+'DCF_ADBE'!$B$7-'DCF_ADBE'!$B$8)-'DCF_ADBE'!$B$3*(1+D15)^5*'DCF_ADBE'!$B$11*'DCF_ADBE'!$B$9)/('DCF_ADBE'!$B$10-'DCF_ADBE'!$B$11)/(1+'DCF_ADBE'!$B$10)^5-'DCF_ADBE'!$B$13)/'DCF_ADBE'!$B$12))</f>
        <v/>
      </c>
    </row>
    <row r="16" spans="1:5" x14ac:dyDescent="0.25">
      <c r="A16" s="4">
        <v>8</v>
      </c>
      <c r="B16" s="4" t="str">
        <f>IF($B$3="","",IF(E15&lt;$B$3,D15,B15))</f>
        <v/>
      </c>
      <c r="C16" s="4" t="str">
        <f>IF($B$3="","",IF(E15&lt;$B$3,C15,D15))</f>
        <v/>
      </c>
      <c r="D16" s="4" t="str">
        <f>IF($B$3="","",(B16+C16)/2)</f>
        <v/>
      </c>
      <c r="E16" s="4" t="str">
        <f>IF($B$3="","",((('DCF_ADBE'!$B$3*(1+D16)^1*('DCF_ADBE'!$B$5*(1-'DCF_ADBE'!$B$6)+'DCF_ADBE'!$B$7-'DCF_ADBE'!$B$8)-'DCF_ADBE'!$B$3*(1+D16)^0*D16*'DCF_ADBE'!$B$9)/(1+'DCF_ADBE'!$B$10)^1+('DCF_ADBE'!$B$3*(1+D16)^2*('DCF_ADBE'!$B$5*(1-'DCF_ADBE'!$B$6)+'DCF_ADBE'!$B$7-'DCF_ADBE'!$B$8)-'DCF_ADBE'!$B$3*(1+D16)^1*D16*'DCF_ADBE'!$B$9)/(1+'DCF_ADBE'!$B$10)^2+('DCF_ADBE'!$B$3*(1+D16)^3*('DCF_ADBE'!$B$5*(1-'DCF_ADBE'!$B$6)+'DCF_ADBE'!$B$7-'DCF_ADBE'!$B$8)-'DCF_ADBE'!$B$3*(1+D16)^2*D16*'DCF_ADBE'!$B$9)/(1+'DCF_ADBE'!$B$10)^3+('DCF_ADBE'!$B$3*(1+D16)^4*('DCF_ADBE'!$B$5*(1-'DCF_ADBE'!$B$6)+'DCF_ADBE'!$B$7-'DCF_ADBE'!$B$8)-'DCF_ADBE'!$B$3*(1+D16)^3*D16*'DCF_ADBE'!$B$9)/(1+'DCF_ADBE'!$B$10)^4+('DCF_ADBE'!$B$3*(1+D16)^5*('DCF_ADBE'!$B$5*(1-'DCF_ADBE'!$B$6)+'DCF_ADBE'!$B$7-'DCF_ADBE'!$B$8)-'DCF_ADBE'!$B$3*(1+D16)^4*D16*'DCF_ADBE'!$B$9)/(1+'DCF_ADBE'!$B$10)^5+('DCF_ADBE'!$B$3*(1+D16)^5*(1+'DCF_ADBE'!$B$11)*('DCF_ADBE'!$B$5*(1-'DCF_ADBE'!$B$6)+'DCF_ADBE'!$B$7-'DCF_ADBE'!$B$8)-'DCF_ADBE'!$B$3*(1+D16)^5*'DCF_ADBE'!$B$11*'DCF_ADBE'!$B$9)/('DCF_ADBE'!$B$10-'DCF_ADBE'!$B$11)/(1+'DCF_ADBE'!$B$10)^5-'DCF_ADBE'!$B$13)/'DCF_ADBE'!$B$12))</f>
        <v/>
      </c>
    </row>
    <row r="17" spans="1:5" x14ac:dyDescent="0.25">
      <c r="A17" s="4">
        <v>9</v>
      </c>
      <c r="B17" s="4" t="str">
        <f>IF($B$3="","",IF(E16&lt;$B$3,D16,B16))</f>
        <v/>
      </c>
      <c r="C17" s="4" t="str">
        <f>IF($B$3="","",IF(E16&lt;$B$3,C16,D16))</f>
        <v/>
      </c>
      <c r="D17" s="4" t="str">
        <f>IF($B$3="","",(B17+C17)/2)</f>
        <v/>
      </c>
      <c r="E17" s="4" t="str">
        <f>IF($B$3="","",((('DCF_ADBE'!$B$3*(1+D17)^1*('DCF_ADBE'!$B$5*(1-'DCF_ADBE'!$B$6)+'DCF_ADBE'!$B$7-'DCF_ADBE'!$B$8)-'DCF_ADBE'!$B$3*(1+D17)^0*D17*'DCF_ADBE'!$B$9)/(1+'DCF_ADBE'!$B$10)^1+('DCF_ADBE'!$B$3*(1+D17)^2*('DCF_ADBE'!$B$5*(1-'DCF_ADBE'!$B$6)+'DCF_ADBE'!$B$7-'DCF_ADBE'!$B$8)-'DCF_ADBE'!$B$3*(1+D17)^1*D17*'DCF_ADBE'!$B$9)/(1+'DCF_ADBE'!$B$10)^2+('DCF_ADBE'!$B$3*(1+D17)^3*('DCF_ADBE'!$B$5*(1-'DCF_ADBE'!$B$6)+'DCF_ADBE'!$B$7-'DCF_ADBE'!$B$8)-'DCF_ADBE'!$B$3*(1+D17)^2*D17*'DCF_ADBE'!$B$9)/(1+'DCF_ADBE'!$B$10)^3+('DCF_ADBE'!$B$3*(1+D17)^4*('DCF_ADBE'!$B$5*(1-'DCF_ADBE'!$B$6)+'DCF_ADBE'!$B$7-'DCF_ADBE'!$B$8)-'DCF_ADBE'!$B$3*(1+D17)^3*D17*'DCF_ADBE'!$B$9)/(1+'DCF_ADBE'!$B$10)^4+('DCF_ADBE'!$B$3*(1+D17)^5*('DCF_ADBE'!$B$5*(1-'DCF_ADBE'!$B$6)+'DCF_ADBE'!$B$7-'DCF_ADBE'!$B$8)-'DCF_ADBE'!$B$3*(1+D17)^4*D17*'DCF_ADBE'!$B$9)/(1+'DCF_ADBE'!$B$10)^5+('DCF_ADBE'!$B$3*(1+D17)^5*(1+'DCF_ADBE'!$B$11)*('DCF_ADBE'!$B$5*(1-'DCF_ADBE'!$B$6)+'DCF_ADBE'!$B$7-'DCF_ADBE'!$B$8)-'DCF_ADBE'!$B$3*(1+D17)^5*'DCF_ADBE'!$B$11*'DCF_ADBE'!$B$9)/('DCF_ADBE'!$B$10-'DCF_ADBE'!$B$11)/(1+'DCF_ADBE'!$B$10)^5-'DCF_ADBE'!$B$13)/'DCF_ADBE'!$B$12))</f>
        <v/>
      </c>
    </row>
    <row r="18" spans="1:5" x14ac:dyDescent="0.25">
      <c r="A18" s="4">
        <v>10</v>
      </c>
      <c r="B18" s="4" t="str">
        <f>IF($B$3="","",IF(E17&lt;$B$3,D17,B17))</f>
        <v/>
      </c>
      <c r="C18" s="4" t="str">
        <f>IF($B$3="","",IF(E17&lt;$B$3,C17,D17))</f>
        <v/>
      </c>
      <c r="D18" s="4" t="str">
        <f>IF($B$3="","",(B18+C18)/2)</f>
        <v/>
      </c>
      <c r="E18" s="4" t="str">
        <f>IF($B$3="","",((('DCF_ADBE'!$B$3*(1+D18)^1*('DCF_ADBE'!$B$5*(1-'DCF_ADBE'!$B$6)+'DCF_ADBE'!$B$7-'DCF_ADBE'!$B$8)-'DCF_ADBE'!$B$3*(1+D18)^0*D18*'DCF_ADBE'!$B$9)/(1+'DCF_ADBE'!$B$10)^1+('DCF_ADBE'!$B$3*(1+D18)^2*('DCF_ADBE'!$B$5*(1-'DCF_ADBE'!$B$6)+'DCF_ADBE'!$B$7-'DCF_ADBE'!$B$8)-'DCF_ADBE'!$B$3*(1+D18)^1*D18*'DCF_ADBE'!$B$9)/(1+'DCF_ADBE'!$B$10)^2+('DCF_ADBE'!$B$3*(1+D18)^3*('DCF_ADBE'!$B$5*(1-'DCF_ADBE'!$B$6)+'DCF_ADBE'!$B$7-'DCF_ADBE'!$B$8)-'DCF_ADBE'!$B$3*(1+D18)^2*D18*'DCF_ADBE'!$B$9)/(1+'DCF_ADBE'!$B$10)^3+('DCF_ADBE'!$B$3*(1+D18)^4*('DCF_ADBE'!$B$5*(1-'DCF_ADBE'!$B$6)+'DCF_ADBE'!$B$7-'DCF_ADBE'!$B$8)-'DCF_ADBE'!$B$3*(1+D18)^3*D18*'DCF_ADBE'!$B$9)/(1+'DCF_ADBE'!$B$10)^4+('DCF_ADBE'!$B$3*(1+D18)^5*('DCF_ADBE'!$B$5*(1-'DCF_ADBE'!$B$6)+'DCF_ADBE'!$B$7-'DCF_ADBE'!$B$8)-'DCF_ADBE'!$B$3*(1+D18)^4*D18*'DCF_ADBE'!$B$9)/(1+'DCF_ADBE'!$B$10)^5+('DCF_ADBE'!$B$3*(1+D18)^5*(1+'DCF_ADBE'!$B$11)*('DCF_ADBE'!$B$5*(1-'DCF_ADBE'!$B$6)+'DCF_ADBE'!$B$7-'DCF_ADBE'!$B$8)-'DCF_ADBE'!$B$3*(1+D18)^5*'DCF_ADBE'!$B$11*'DCF_ADBE'!$B$9)/('DCF_ADBE'!$B$10-'DCF_ADBE'!$B$11)/(1+'DCF_ADBE'!$B$10)^5-'DCF_ADBE'!$B$13)/'DCF_ADBE'!$B$12))</f>
        <v/>
      </c>
    </row>
    <row r="19" spans="1:5" x14ac:dyDescent="0.25">
      <c r="A19" s="4">
        <v>11</v>
      </c>
      <c r="B19" s="4" t="str">
        <f>IF($B$3="","",IF(E18&lt;$B$3,D18,B18))</f>
        <v/>
      </c>
      <c r="C19" s="4" t="str">
        <f>IF($B$3="","",IF(E18&lt;$B$3,C18,D18))</f>
        <v/>
      </c>
      <c r="D19" s="4" t="str">
        <f>IF($B$3="","",(B19+C19)/2)</f>
        <v/>
      </c>
      <c r="E19" s="4" t="str">
        <f>IF($B$3="","",((('DCF_ADBE'!$B$3*(1+D19)^1*('DCF_ADBE'!$B$5*(1-'DCF_ADBE'!$B$6)+'DCF_ADBE'!$B$7-'DCF_ADBE'!$B$8)-'DCF_ADBE'!$B$3*(1+D19)^0*D19*'DCF_ADBE'!$B$9)/(1+'DCF_ADBE'!$B$10)^1+('DCF_ADBE'!$B$3*(1+D19)^2*('DCF_ADBE'!$B$5*(1-'DCF_ADBE'!$B$6)+'DCF_ADBE'!$B$7-'DCF_ADBE'!$B$8)-'DCF_ADBE'!$B$3*(1+D19)^1*D19*'DCF_ADBE'!$B$9)/(1+'DCF_ADBE'!$B$10)^2+('DCF_ADBE'!$B$3*(1+D19)^3*('DCF_ADBE'!$B$5*(1-'DCF_ADBE'!$B$6)+'DCF_ADBE'!$B$7-'DCF_ADBE'!$B$8)-'DCF_ADBE'!$B$3*(1+D19)^2*D19*'DCF_ADBE'!$B$9)/(1+'DCF_ADBE'!$B$10)^3+('DCF_ADBE'!$B$3*(1+D19)^4*('DCF_ADBE'!$B$5*(1-'DCF_ADBE'!$B$6)+'DCF_ADBE'!$B$7-'DCF_ADBE'!$B$8)-'DCF_ADBE'!$B$3*(1+D19)^3*D19*'DCF_ADBE'!$B$9)/(1+'DCF_ADBE'!$B$10)^4+('DCF_ADBE'!$B$3*(1+D19)^5*('DCF_ADBE'!$B$5*(1-'DCF_ADBE'!$B$6)+'DCF_ADBE'!$B$7-'DCF_ADBE'!$B$8)-'DCF_ADBE'!$B$3*(1+D19)^4*D19*'DCF_ADBE'!$B$9)/(1+'DCF_ADBE'!$B$10)^5+('DCF_ADBE'!$B$3*(1+D19)^5*(1+'DCF_ADBE'!$B$11)*('DCF_ADBE'!$B$5*(1-'DCF_ADBE'!$B$6)+'DCF_ADBE'!$B$7-'DCF_ADBE'!$B$8)-'DCF_ADBE'!$B$3*(1+D19)^5*'DCF_ADBE'!$B$11*'DCF_ADBE'!$B$9)/('DCF_ADBE'!$B$10-'DCF_ADBE'!$B$11)/(1+'DCF_ADBE'!$B$10)^5-'DCF_ADBE'!$B$13)/'DCF_ADBE'!$B$12))</f>
        <v/>
      </c>
    </row>
    <row r="20" spans="1:5" x14ac:dyDescent="0.25">
      <c r="A20" s="4">
        <v>12</v>
      </c>
      <c r="B20" s="4" t="str">
        <f>IF($B$3="","",IF(E19&lt;$B$3,D19,B19))</f>
        <v/>
      </c>
      <c r="C20" s="4" t="str">
        <f>IF($B$3="","",IF(E19&lt;$B$3,C19,D19))</f>
        <v/>
      </c>
      <c r="D20" s="4" t="str">
        <f>IF($B$3="","",(B20+C20)/2)</f>
        <v/>
      </c>
      <c r="E20" s="4" t="str">
        <f>IF($B$3="","",((('DCF_ADBE'!$B$3*(1+D20)^1*('DCF_ADBE'!$B$5*(1-'DCF_ADBE'!$B$6)+'DCF_ADBE'!$B$7-'DCF_ADBE'!$B$8)-'DCF_ADBE'!$B$3*(1+D20)^0*D20*'DCF_ADBE'!$B$9)/(1+'DCF_ADBE'!$B$10)^1+('DCF_ADBE'!$B$3*(1+D20)^2*('DCF_ADBE'!$B$5*(1-'DCF_ADBE'!$B$6)+'DCF_ADBE'!$B$7-'DCF_ADBE'!$B$8)-'DCF_ADBE'!$B$3*(1+D20)^1*D20*'DCF_ADBE'!$B$9)/(1+'DCF_ADBE'!$B$10)^2+('DCF_ADBE'!$B$3*(1+D20)^3*('DCF_ADBE'!$B$5*(1-'DCF_ADBE'!$B$6)+'DCF_ADBE'!$B$7-'DCF_ADBE'!$B$8)-'DCF_ADBE'!$B$3*(1+D20)^2*D20*'DCF_ADBE'!$B$9)/(1+'DCF_ADBE'!$B$10)^3+('DCF_ADBE'!$B$3*(1+D20)^4*('DCF_ADBE'!$B$5*(1-'DCF_ADBE'!$B$6)+'DCF_ADBE'!$B$7-'DCF_ADBE'!$B$8)-'DCF_ADBE'!$B$3*(1+D20)^3*D20*'DCF_ADBE'!$B$9)/(1+'DCF_ADBE'!$B$10)^4+('DCF_ADBE'!$B$3*(1+D20)^5*('DCF_ADBE'!$B$5*(1-'DCF_ADBE'!$B$6)+'DCF_ADBE'!$B$7-'DCF_ADBE'!$B$8)-'DCF_ADBE'!$B$3*(1+D20)^4*D20*'DCF_ADBE'!$B$9)/(1+'DCF_ADBE'!$B$10)^5+('DCF_ADBE'!$B$3*(1+D20)^5*(1+'DCF_ADBE'!$B$11)*('DCF_ADBE'!$B$5*(1-'DCF_ADBE'!$B$6)+'DCF_ADBE'!$B$7-'DCF_ADBE'!$B$8)-'DCF_ADBE'!$B$3*(1+D20)^5*'DCF_ADBE'!$B$11*'DCF_ADBE'!$B$9)/('DCF_ADBE'!$B$10-'DCF_ADBE'!$B$11)/(1+'DCF_ADBE'!$B$10)^5-'DCF_ADBE'!$B$13)/'DCF_ADBE'!$B$12))</f>
        <v/>
      </c>
    </row>
    <row r="21" spans="1:5" x14ac:dyDescent="0.25">
      <c r="A21" s="4">
        <v>13</v>
      </c>
      <c r="B21" s="4" t="str">
        <f>IF($B$3="","",IF(E20&lt;$B$3,D20,B20))</f>
        <v/>
      </c>
      <c r="C21" s="4" t="str">
        <f>IF($B$3="","",IF(E20&lt;$B$3,C20,D20))</f>
        <v/>
      </c>
      <c r="D21" s="4" t="str">
        <f>IF($B$3="","",(B21+C21)/2)</f>
        <v/>
      </c>
      <c r="E21" s="4" t="str">
        <f>IF($B$3="","",((('DCF_ADBE'!$B$3*(1+D21)^1*('DCF_ADBE'!$B$5*(1-'DCF_ADBE'!$B$6)+'DCF_ADBE'!$B$7-'DCF_ADBE'!$B$8)-'DCF_ADBE'!$B$3*(1+D21)^0*D21*'DCF_ADBE'!$B$9)/(1+'DCF_ADBE'!$B$10)^1+('DCF_ADBE'!$B$3*(1+D21)^2*('DCF_ADBE'!$B$5*(1-'DCF_ADBE'!$B$6)+'DCF_ADBE'!$B$7-'DCF_ADBE'!$B$8)-'DCF_ADBE'!$B$3*(1+D21)^1*D21*'DCF_ADBE'!$B$9)/(1+'DCF_ADBE'!$B$10)^2+('DCF_ADBE'!$B$3*(1+D21)^3*('DCF_ADBE'!$B$5*(1-'DCF_ADBE'!$B$6)+'DCF_ADBE'!$B$7-'DCF_ADBE'!$B$8)-'DCF_ADBE'!$B$3*(1+D21)^2*D21*'DCF_ADBE'!$B$9)/(1+'DCF_ADBE'!$B$10)^3+('DCF_ADBE'!$B$3*(1+D21)^4*('DCF_ADBE'!$B$5*(1-'DCF_ADBE'!$B$6)+'DCF_ADBE'!$B$7-'DCF_ADBE'!$B$8)-'DCF_ADBE'!$B$3*(1+D21)^3*D21*'DCF_ADBE'!$B$9)/(1+'DCF_ADBE'!$B$10)^4+('DCF_ADBE'!$B$3*(1+D21)^5*('DCF_ADBE'!$B$5*(1-'DCF_ADBE'!$B$6)+'DCF_ADBE'!$B$7-'DCF_ADBE'!$B$8)-'DCF_ADBE'!$B$3*(1+D21)^4*D21*'DCF_ADBE'!$B$9)/(1+'DCF_ADBE'!$B$10)^5+('DCF_ADBE'!$B$3*(1+D21)^5*(1+'DCF_ADBE'!$B$11)*('DCF_ADBE'!$B$5*(1-'DCF_ADBE'!$B$6)+'DCF_ADBE'!$B$7-'DCF_ADBE'!$B$8)-'DCF_ADBE'!$B$3*(1+D21)^5*'DCF_ADBE'!$B$11*'DCF_ADBE'!$B$9)/('DCF_ADBE'!$B$10-'DCF_ADBE'!$B$11)/(1+'DCF_ADBE'!$B$10)^5-'DCF_ADBE'!$B$13)/'DCF_ADBE'!$B$12))</f>
        <v/>
      </c>
    </row>
    <row r="22" spans="1:5" x14ac:dyDescent="0.25">
      <c r="A22" s="4">
        <v>14</v>
      </c>
      <c r="B22" s="4" t="str">
        <f>IF($B$3="","",IF(E21&lt;$B$3,D21,B21))</f>
        <v/>
      </c>
      <c r="C22" s="4" t="str">
        <f>IF($B$3="","",IF(E21&lt;$B$3,C21,D21))</f>
        <v/>
      </c>
      <c r="D22" s="4" t="str">
        <f>IF($B$3="","",(B22+C22)/2)</f>
        <v/>
      </c>
      <c r="E22" s="4" t="str">
        <f>IF($B$3="","",((('DCF_ADBE'!$B$3*(1+D22)^1*('DCF_ADBE'!$B$5*(1-'DCF_ADBE'!$B$6)+'DCF_ADBE'!$B$7-'DCF_ADBE'!$B$8)-'DCF_ADBE'!$B$3*(1+D22)^0*D22*'DCF_ADBE'!$B$9)/(1+'DCF_ADBE'!$B$10)^1+('DCF_ADBE'!$B$3*(1+D22)^2*('DCF_ADBE'!$B$5*(1-'DCF_ADBE'!$B$6)+'DCF_ADBE'!$B$7-'DCF_ADBE'!$B$8)-'DCF_ADBE'!$B$3*(1+D22)^1*D22*'DCF_ADBE'!$B$9)/(1+'DCF_ADBE'!$B$10)^2+('DCF_ADBE'!$B$3*(1+D22)^3*('DCF_ADBE'!$B$5*(1-'DCF_ADBE'!$B$6)+'DCF_ADBE'!$B$7-'DCF_ADBE'!$B$8)-'DCF_ADBE'!$B$3*(1+D22)^2*D22*'DCF_ADBE'!$B$9)/(1+'DCF_ADBE'!$B$10)^3+('DCF_ADBE'!$B$3*(1+D22)^4*('DCF_ADBE'!$B$5*(1-'DCF_ADBE'!$B$6)+'DCF_ADBE'!$B$7-'DCF_ADBE'!$B$8)-'DCF_ADBE'!$B$3*(1+D22)^3*D22*'DCF_ADBE'!$B$9)/(1+'DCF_ADBE'!$B$10)^4+('DCF_ADBE'!$B$3*(1+D22)^5*('DCF_ADBE'!$B$5*(1-'DCF_ADBE'!$B$6)+'DCF_ADBE'!$B$7-'DCF_ADBE'!$B$8)-'DCF_ADBE'!$B$3*(1+D22)^4*D22*'DCF_ADBE'!$B$9)/(1+'DCF_ADBE'!$B$10)^5+('DCF_ADBE'!$B$3*(1+D22)^5*(1+'DCF_ADBE'!$B$11)*('DCF_ADBE'!$B$5*(1-'DCF_ADBE'!$B$6)+'DCF_ADBE'!$B$7-'DCF_ADBE'!$B$8)-'DCF_ADBE'!$B$3*(1+D22)^5*'DCF_ADBE'!$B$11*'DCF_ADBE'!$B$9)/('DCF_ADBE'!$B$10-'DCF_ADBE'!$B$11)/(1+'DCF_ADBE'!$B$10)^5-'DCF_ADBE'!$B$13)/'DCF_ADBE'!$B$12))</f>
        <v/>
      </c>
    </row>
    <row r="23" spans="1:5" x14ac:dyDescent="0.25">
      <c r="A23" s="4">
        <v>15</v>
      </c>
      <c r="B23" s="4" t="str">
        <f>IF($B$3="","",IF(E22&lt;$B$3,D22,B22))</f>
        <v/>
      </c>
      <c r="C23" s="4" t="str">
        <f>IF($B$3="","",IF(E22&lt;$B$3,C22,D22))</f>
        <v/>
      </c>
      <c r="D23" s="4" t="str">
        <f>IF($B$3="","",(B23+C23)/2)</f>
        <v/>
      </c>
      <c r="E23" s="4" t="str">
        <f>IF($B$3="","",((('DCF_ADBE'!$B$3*(1+D23)^1*('DCF_ADBE'!$B$5*(1-'DCF_ADBE'!$B$6)+'DCF_ADBE'!$B$7-'DCF_ADBE'!$B$8)-'DCF_ADBE'!$B$3*(1+D23)^0*D23*'DCF_ADBE'!$B$9)/(1+'DCF_ADBE'!$B$10)^1+('DCF_ADBE'!$B$3*(1+D23)^2*('DCF_ADBE'!$B$5*(1-'DCF_ADBE'!$B$6)+'DCF_ADBE'!$B$7-'DCF_ADBE'!$B$8)-'DCF_ADBE'!$B$3*(1+D23)^1*D23*'DCF_ADBE'!$B$9)/(1+'DCF_ADBE'!$B$10)^2+('DCF_ADBE'!$B$3*(1+D23)^3*('DCF_ADBE'!$B$5*(1-'DCF_ADBE'!$B$6)+'DCF_ADBE'!$B$7-'DCF_ADBE'!$B$8)-'DCF_ADBE'!$B$3*(1+D23)^2*D23*'DCF_ADBE'!$B$9)/(1+'DCF_ADBE'!$B$10)^3+('DCF_ADBE'!$B$3*(1+D23)^4*('DCF_ADBE'!$B$5*(1-'DCF_ADBE'!$B$6)+'DCF_ADBE'!$B$7-'DCF_ADBE'!$B$8)-'DCF_ADBE'!$B$3*(1+D23)^3*D23*'DCF_ADBE'!$B$9)/(1+'DCF_ADBE'!$B$10)^4+('DCF_ADBE'!$B$3*(1+D23)^5*('DCF_ADBE'!$B$5*(1-'DCF_ADBE'!$B$6)+'DCF_ADBE'!$B$7-'DCF_ADBE'!$B$8)-'DCF_ADBE'!$B$3*(1+D23)^4*D23*'DCF_ADBE'!$B$9)/(1+'DCF_ADBE'!$B$10)^5+('DCF_ADBE'!$B$3*(1+D23)^5*(1+'DCF_ADBE'!$B$11)*('DCF_ADBE'!$B$5*(1-'DCF_ADBE'!$B$6)+'DCF_ADBE'!$B$7-'DCF_ADBE'!$B$8)-'DCF_ADBE'!$B$3*(1+D23)^5*'DCF_ADBE'!$B$11*'DCF_ADBE'!$B$9)/('DCF_ADBE'!$B$10-'DCF_ADBE'!$B$11)/(1+'DCF_ADBE'!$B$10)^5-'DCF_ADBE'!$B$13)/'DCF_ADBE'!$B$12))</f>
        <v/>
      </c>
    </row>
    <row r="24" spans="1:5" x14ac:dyDescent="0.25">
      <c r="A24" s="4">
        <v>16</v>
      </c>
      <c r="B24" s="4" t="str">
        <f>IF($B$3="","",IF(E23&lt;$B$3,D23,B23))</f>
        <v/>
      </c>
      <c r="C24" s="4" t="str">
        <f>IF($B$3="","",IF(E23&lt;$B$3,C23,D23))</f>
        <v/>
      </c>
      <c r="D24" s="4" t="str">
        <f>IF($B$3="","",(B24+C24)/2)</f>
        <v/>
      </c>
      <c r="E24" s="4" t="str">
        <f>IF($B$3="","",((('DCF_ADBE'!$B$3*(1+D24)^1*('DCF_ADBE'!$B$5*(1-'DCF_ADBE'!$B$6)+'DCF_ADBE'!$B$7-'DCF_ADBE'!$B$8)-'DCF_ADBE'!$B$3*(1+D24)^0*D24*'DCF_ADBE'!$B$9)/(1+'DCF_ADBE'!$B$10)^1+('DCF_ADBE'!$B$3*(1+D24)^2*('DCF_ADBE'!$B$5*(1-'DCF_ADBE'!$B$6)+'DCF_ADBE'!$B$7-'DCF_ADBE'!$B$8)-'DCF_ADBE'!$B$3*(1+D24)^1*D24*'DCF_ADBE'!$B$9)/(1+'DCF_ADBE'!$B$10)^2+('DCF_ADBE'!$B$3*(1+D24)^3*('DCF_ADBE'!$B$5*(1-'DCF_ADBE'!$B$6)+'DCF_ADBE'!$B$7-'DCF_ADBE'!$B$8)-'DCF_ADBE'!$B$3*(1+D24)^2*D24*'DCF_ADBE'!$B$9)/(1+'DCF_ADBE'!$B$10)^3+('DCF_ADBE'!$B$3*(1+D24)^4*('DCF_ADBE'!$B$5*(1-'DCF_ADBE'!$B$6)+'DCF_ADBE'!$B$7-'DCF_ADBE'!$B$8)-'DCF_ADBE'!$B$3*(1+D24)^3*D24*'DCF_ADBE'!$B$9)/(1+'DCF_ADBE'!$B$10)^4+('DCF_ADBE'!$B$3*(1+D24)^5*('DCF_ADBE'!$B$5*(1-'DCF_ADBE'!$B$6)+'DCF_ADBE'!$B$7-'DCF_ADBE'!$B$8)-'DCF_ADBE'!$B$3*(1+D24)^4*D24*'DCF_ADBE'!$B$9)/(1+'DCF_ADBE'!$B$10)^5+('DCF_ADBE'!$B$3*(1+D24)^5*(1+'DCF_ADBE'!$B$11)*('DCF_ADBE'!$B$5*(1-'DCF_ADBE'!$B$6)+'DCF_ADBE'!$B$7-'DCF_ADBE'!$B$8)-'DCF_ADBE'!$B$3*(1+D24)^5*'DCF_ADBE'!$B$11*'DCF_ADBE'!$B$9)/('DCF_ADBE'!$B$10-'DCF_ADBE'!$B$11)/(1+'DCF_ADBE'!$B$10)^5-'DCF_ADBE'!$B$13)/'DCF_ADBE'!$B$12))</f>
        <v/>
      </c>
    </row>
    <row r="25" spans="1:5" x14ac:dyDescent="0.25">
      <c r="A25" s="4">
        <v>17</v>
      </c>
      <c r="B25" s="4" t="str">
        <f>IF($B$3="","",IF(E24&lt;$B$3,D24,B24))</f>
        <v/>
      </c>
      <c r="C25" s="4" t="str">
        <f>IF($B$3="","",IF(E24&lt;$B$3,C24,D24))</f>
        <v/>
      </c>
      <c r="D25" s="4" t="str">
        <f>IF($B$3="","",(B25+C25)/2)</f>
        <v/>
      </c>
      <c r="E25" s="4" t="str">
        <f>IF($B$3="","",((('DCF_ADBE'!$B$3*(1+D25)^1*('DCF_ADBE'!$B$5*(1-'DCF_ADBE'!$B$6)+'DCF_ADBE'!$B$7-'DCF_ADBE'!$B$8)-'DCF_ADBE'!$B$3*(1+D25)^0*D25*'DCF_ADBE'!$B$9)/(1+'DCF_ADBE'!$B$10)^1+('DCF_ADBE'!$B$3*(1+D25)^2*('DCF_ADBE'!$B$5*(1-'DCF_ADBE'!$B$6)+'DCF_ADBE'!$B$7-'DCF_ADBE'!$B$8)-'DCF_ADBE'!$B$3*(1+D25)^1*D25*'DCF_ADBE'!$B$9)/(1+'DCF_ADBE'!$B$10)^2+('DCF_ADBE'!$B$3*(1+D25)^3*('DCF_ADBE'!$B$5*(1-'DCF_ADBE'!$B$6)+'DCF_ADBE'!$B$7-'DCF_ADBE'!$B$8)-'DCF_ADBE'!$B$3*(1+D25)^2*D25*'DCF_ADBE'!$B$9)/(1+'DCF_ADBE'!$B$10)^3+('DCF_ADBE'!$B$3*(1+D25)^4*('DCF_ADBE'!$B$5*(1-'DCF_ADBE'!$B$6)+'DCF_ADBE'!$B$7-'DCF_ADBE'!$B$8)-'DCF_ADBE'!$B$3*(1+D25)^3*D25*'DCF_ADBE'!$B$9)/(1+'DCF_ADBE'!$B$10)^4+('DCF_ADBE'!$B$3*(1+D25)^5*('DCF_ADBE'!$B$5*(1-'DCF_ADBE'!$B$6)+'DCF_ADBE'!$B$7-'DCF_ADBE'!$B$8)-'DCF_ADBE'!$B$3*(1+D25)^4*D25*'DCF_ADBE'!$B$9)/(1+'DCF_ADBE'!$B$10)^5+('DCF_ADBE'!$B$3*(1+D25)^5*(1+'DCF_ADBE'!$B$11)*('DCF_ADBE'!$B$5*(1-'DCF_ADBE'!$B$6)+'DCF_ADBE'!$B$7-'DCF_ADBE'!$B$8)-'DCF_ADBE'!$B$3*(1+D25)^5*'DCF_ADBE'!$B$11*'DCF_ADBE'!$B$9)/('DCF_ADBE'!$B$10-'DCF_ADBE'!$B$11)/(1+'DCF_ADBE'!$B$10)^5-'DCF_ADBE'!$B$13)/'DCF_ADBE'!$B$12))</f>
        <v/>
      </c>
    </row>
    <row r="26" spans="1:5" x14ac:dyDescent="0.25">
      <c r="A26" s="4">
        <v>18</v>
      </c>
      <c r="B26" s="4" t="str">
        <f>IF($B$3="","",IF(E25&lt;$B$3,D25,B25))</f>
        <v/>
      </c>
      <c r="C26" s="4" t="str">
        <f>IF($B$3="","",IF(E25&lt;$B$3,C25,D25))</f>
        <v/>
      </c>
      <c r="D26" s="4" t="str">
        <f>IF($B$3="","",(B26+C26)/2)</f>
        <v/>
      </c>
      <c r="E26" s="4" t="str">
        <f>IF($B$3="","",((('DCF_ADBE'!$B$3*(1+D26)^1*('DCF_ADBE'!$B$5*(1-'DCF_ADBE'!$B$6)+'DCF_ADBE'!$B$7-'DCF_ADBE'!$B$8)-'DCF_ADBE'!$B$3*(1+D26)^0*D26*'DCF_ADBE'!$B$9)/(1+'DCF_ADBE'!$B$10)^1+('DCF_ADBE'!$B$3*(1+D26)^2*('DCF_ADBE'!$B$5*(1-'DCF_ADBE'!$B$6)+'DCF_ADBE'!$B$7-'DCF_ADBE'!$B$8)-'DCF_ADBE'!$B$3*(1+D26)^1*D26*'DCF_ADBE'!$B$9)/(1+'DCF_ADBE'!$B$10)^2+('DCF_ADBE'!$B$3*(1+D26)^3*('DCF_ADBE'!$B$5*(1-'DCF_ADBE'!$B$6)+'DCF_ADBE'!$B$7-'DCF_ADBE'!$B$8)-'DCF_ADBE'!$B$3*(1+D26)^2*D26*'DCF_ADBE'!$B$9)/(1+'DCF_ADBE'!$B$10)^3+('DCF_ADBE'!$B$3*(1+D26)^4*('DCF_ADBE'!$B$5*(1-'DCF_ADBE'!$B$6)+'DCF_ADBE'!$B$7-'DCF_ADBE'!$B$8)-'DCF_ADBE'!$B$3*(1+D26)^3*D26*'DCF_ADBE'!$B$9)/(1+'DCF_ADBE'!$B$10)^4+('DCF_ADBE'!$B$3*(1+D26)^5*('DCF_ADBE'!$B$5*(1-'DCF_ADBE'!$B$6)+'DCF_ADBE'!$B$7-'DCF_ADBE'!$B$8)-'DCF_ADBE'!$B$3*(1+D26)^4*D26*'DCF_ADBE'!$B$9)/(1+'DCF_ADBE'!$B$10)^5+('DCF_ADBE'!$B$3*(1+D26)^5*(1+'DCF_ADBE'!$B$11)*('DCF_ADBE'!$B$5*(1-'DCF_ADBE'!$B$6)+'DCF_ADBE'!$B$7-'DCF_ADBE'!$B$8)-'DCF_ADBE'!$B$3*(1+D26)^5*'DCF_ADBE'!$B$11*'DCF_ADBE'!$B$9)/('DCF_ADBE'!$B$10-'DCF_ADBE'!$B$11)/(1+'DCF_ADBE'!$B$10)^5-'DCF_ADBE'!$B$13)/'DCF_ADBE'!$B$12))</f>
        <v/>
      </c>
    </row>
    <row r="27" spans="1:5" x14ac:dyDescent="0.25">
      <c r="A27" s="4">
        <v>19</v>
      </c>
      <c r="B27" s="4" t="str">
        <f>IF($B$3="","",IF(E26&lt;$B$3,D26,B26))</f>
        <v/>
      </c>
      <c r="C27" s="4" t="str">
        <f>IF($B$3="","",IF(E26&lt;$B$3,C26,D26))</f>
        <v/>
      </c>
      <c r="D27" s="4" t="str">
        <f>IF($B$3="","",(B27+C27)/2)</f>
        <v/>
      </c>
      <c r="E27" s="4" t="str">
        <f>IF($B$3="","",((('DCF_ADBE'!$B$3*(1+D27)^1*('DCF_ADBE'!$B$5*(1-'DCF_ADBE'!$B$6)+'DCF_ADBE'!$B$7-'DCF_ADBE'!$B$8)-'DCF_ADBE'!$B$3*(1+D27)^0*D27*'DCF_ADBE'!$B$9)/(1+'DCF_ADBE'!$B$10)^1+('DCF_ADBE'!$B$3*(1+D27)^2*('DCF_ADBE'!$B$5*(1-'DCF_ADBE'!$B$6)+'DCF_ADBE'!$B$7-'DCF_ADBE'!$B$8)-'DCF_ADBE'!$B$3*(1+D27)^1*D27*'DCF_ADBE'!$B$9)/(1+'DCF_ADBE'!$B$10)^2+('DCF_ADBE'!$B$3*(1+D27)^3*('DCF_ADBE'!$B$5*(1-'DCF_ADBE'!$B$6)+'DCF_ADBE'!$B$7-'DCF_ADBE'!$B$8)-'DCF_ADBE'!$B$3*(1+D27)^2*D27*'DCF_ADBE'!$B$9)/(1+'DCF_ADBE'!$B$10)^3+('DCF_ADBE'!$B$3*(1+D27)^4*('DCF_ADBE'!$B$5*(1-'DCF_ADBE'!$B$6)+'DCF_ADBE'!$B$7-'DCF_ADBE'!$B$8)-'DCF_ADBE'!$B$3*(1+D27)^3*D27*'DCF_ADBE'!$B$9)/(1+'DCF_ADBE'!$B$10)^4+('DCF_ADBE'!$B$3*(1+D27)^5*('DCF_ADBE'!$B$5*(1-'DCF_ADBE'!$B$6)+'DCF_ADBE'!$B$7-'DCF_ADBE'!$B$8)-'DCF_ADBE'!$B$3*(1+D27)^4*D27*'DCF_ADBE'!$B$9)/(1+'DCF_ADBE'!$B$10)^5+('DCF_ADBE'!$B$3*(1+D27)^5*(1+'DCF_ADBE'!$B$11)*('DCF_ADBE'!$B$5*(1-'DCF_ADBE'!$B$6)+'DCF_ADBE'!$B$7-'DCF_ADBE'!$B$8)-'DCF_ADBE'!$B$3*(1+D27)^5*'DCF_ADBE'!$B$11*'DCF_ADBE'!$B$9)/('DCF_ADBE'!$B$10-'DCF_ADBE'!$B$11)/(1+'DCF_ADBE'!$B$10)^5-'DCF_ADBE'!$B$13)/'DCF_ADBE'!$B$12))</f>
        <v/>
      </c>
    </row>
    <row r="28" spans="1:5" x14ac:dyDescent="0.25">
      <c r="A28" s="4">
        <v>20</v>
      </c>
      <c r="B28" s="4" t="str">
        <f>IF($B$3="","",IF(E27&lt;$B$3,D27,B27))</f>
        <v/>
      </c>
      <c r="C28" s="4" t="str">
        <f>IF($B$3="","",IF(E27&lt;$B$3,C27,D27))</f>
        <v/>
      </c>
      <c r="D28" s="4" t="str">
        <f>IF($B$3="","",(B28+C28)/2)</f>
        <v/>
      </c>
      <c r="E28" s="4" t="str">
        <f>IF($B$3="","",((('DCF_ADBE'!$B$3*(1+D28)^1*('DCF_ADBE'!$B$5*(1-'DCF_ADBE'!$B$6)+'DCF_ADBE'!$B$7-'DCF_ADBE'!$B$8)-'DCF_ADBE'!$B$3*(1+D28)^0*D28*'DCF_ADBE'!$B$9)/(1+'DCF_ADBE'!$B$10)^1+('DCF_ADBE'!$B$3*(1+D28)^2*('DCF_ADBE'!$B$5*(1-'DCF_ADBE'!$B$6)+'DCF_ADBE'!$B$7-'DCF_ADBE'!$B$8)-'DCF_ADBE'!$B$3*(1+D28)^1*D28*'DCF_ADBE'!$B$9)/(1+'DCF_ADBE'!$B$10)^2+('DCF_ADBE'!$B$3*(1+D28)^3*('DCF_ADBE'!$B$5*(1-'DCF_ADBE'!$B$6)+'DCF_ADBE'!$B$7-'DCF_ADBE'!$B$8)-'DCF_ADBE'!$B$3*(1+D28)^2*D28*'DCF_ADBE'!$B$9)/(1+'DCF_ADBE'!$B$10)^3+('DCF_ADBE'!$B$3*(1+D28)^4*('DCF_ADBE'!$B$5*(1-'DCF_ADBE'!$B$6)+'DCF_ADBE'!$B$7-'DCF_ADBE'!$B$8)-'DCF_ADBE'!$B$3*(1+D28)^3*D28*'DCF_ADBE'!$B$9)/(1+'DCF_ADBE'!$B$10)^4+('DCF_ADBE'!$B$3*(1+D28)^5*('DCF_ADBE'!$B$5*(1-'DCF_ADBE'!$B$6)+'DCF_ADBE'!$B$7-'DCF_ADBE'!$B$8)-'DCF_ADBE'!$B$3*(1+D28)^4*D28*'DCF_ADBE'!$B$9)/(1+'DCF_ADBE'!$B$10)^5+('DCF_ADBE'!$B$3*(1+D28)^5*(1+'DCF_ADBE'!$B$11)*('DCF_ADBE'!$B$5*(1-'DCF_ADBE'!$B$6)+'DCF_ADBE'!$B$7-'DCF_ADBE'!$B$8)-'DCF_ADBE'!$B$3*(1+D28)^5*'DCF_ADBE'!$B$11*'DCF_ADBE'!$B$9)/('DCF_ADBE'!$B$10-'DCF_ADBE'!$B$11)/(1+'DCF_ADBE'!$B$10)^5-'DCF_ADBE'!$B$13)/'DCF_ADBE'!$B$12))</f>
        <v/>
      </c>
    </row>
    <row r="29" spans="1:5" x14ac:dyDescent="0.25">
      <c r="A29" s="4">
        <v>21</v>
      </c>
      <c r="B29" s="4" t="str">
        <f>IF($B$3="","",IF(E28&lt;$B$3,D28,B28))</f>
        <v/>
      </c>
      <c r="C29" s="4" t="str">
        <f>IF($B$3="","",IF(E28&lt;$B$3,C28,D28))</f>
        <v/>
      </c>
      <c r="D29" s="4" t="str">
        <f>IF($B$3="","",(B29+C29)/2)</f>
        <v/>
      </c>
      <c r="E29" s="4" t="str">
        <f>IF($B$3="","",((('DCF_ADBE'!$B$3*(1+D29)^1*('DCF_ADBE'!$B$5*(1-'DCF_ADBE'!$B$6)+'DCF_ADBE'!$B$7-'DCF_ADBE'!$B$8)-'DCF_ADBE'!$B$3*(1+D29)^0*D29*'DCF_ADBE'!$B$9)/(1+'DCF_ADBE'!$B$10)^1+('DCF_ADBE'!$B$3*(1+D29)^2*('DCF_ADBE'!$B$5*(1-'DCF_ADBE'!$B$6)+'DCF_ADBE'!$B$7-'DCF_ADBE'!$B$8)-'DCF_ADBE'!$B$3*(1+D29)^1*D29*'DCF_ADBE'!$B$9)/(1+'DCF_ADBE'!$B$10)^2+('DCF_ADBE'!$B$3*(1+D29)^3*('DCF_ADBE'!$B$5*(1-'DCF_ADBE'!$B$6)+'DCF_ADBE'!$B$7-'DCF_ADBE'!$B$8)-'DCF_ADBE'!$B$3*(1+D29)^2*D29*'DCF_ADBE'!$B$9)/(1+'DCF_ADBE'!$B$10)^3+('DCF_ADBE'!$B$3*(1+D29)^4*('DCF_ADBE'!$B$5*(1-'DCF_ADBE'!$B$6)+'DCF_ADBE'!$B$7-'DCF_ADBE'!$B$8)-'DCF_ADBE'!$B$3*(1+D29)^3*D29*'DCF_ADBE'!$B$9)/(1+'DCF_ADBE'!$B$10)^4+('DCF_ADBE'!$B$3*(1+D29)^5*('DCF_ADBE'!$B$5*(1-'DCF_ADBE'!$B$6)+'DCF_ADBE'!$B$7-'DCF_ADBE'!$B$8)-'DCF_ADBE'!$B$3*(1+D29)^4*D29*'DCF_ADBE'!$B$9)/(1+'DCF_ADBE'!$B$10)^5+('DCF_ADBE'!$B$3*(1+D29)^5*(1+'DCF_ADBE'!$B$11)*('DCF_ADBE'!$B$5*(1-'DCF_ADBE'!$B$6)+'DCF_ADBE'!$B$7-'DCF_ADBE'!$B$8)-'DCF_ADBE'!$B$3*(1+D29)^5*'DCF_ADBE'!$B$11*'DCF_ADBE'!$B$9)/('DCF_ADBE'!$B$10-'DCF_ADBE'!$B$11)/(1+'DCF_ADBE'!$B$10)^5-'DCF_ADBE'!$B$13)/'DCF_ADBE'!$B$12))</f>
        <v/>
      </c>
    </row>
    <row r="30" spans="1:5" x14ac:dyDescent="0.25">
      <c r="A30" s="4">
        <v>22</v>
      </c>
      <c r="B30" s="4" t="str">
        <f>IF($B$3="","",IF(E29&lt;$B$3,D29,B29))</f>
        <v/>
      </c>
      <c r="C30" s="4" t="str">
        <f>IF($B$3="","",IF(E29&lt;$B$3,C29,D29))</f>
        <v/>
      </c>
      <c r="D30" s="4" t="str">
        <f>IF($B$3="","",(B30+C30)/2)</f>
        <v/>
      </c>
      <c r="E30" s="4" t="str">
        <f>IF($B$3="","",((('DCF_ADBE'!$B$3*(1+D30)^1*('DCF_ADBE'!$B$5*(1-'DCF_ADBE'!$B$6)+'DCF_ADBE'!$B$7-'DCF_ADBE'!$B$8)-'DCF_ADBE'!$B$3*(1+D30)^0*D30*'DCF_ADBE'!$B$9)/(1+'DCF_ADBE'!$B$10)^1+('DCF_ADBE'!$B$3*(1+D30)^2*('DCF_ADBE'!$B$5*(1-'DCF_ADBE'!$B$6)+'DCF_ADBE'!$B$7-'DCF_ADBE'!$B$8)-'DCF_ADBE'!$B$3*(1+D30)^1*D30*'DCF_ADBE'!$B$9)/(1+'DCF_ADBE'!$B$10)^2+('DCF_ADBE'!$B$3*(1+D30)^3*('DCF_ADBE'!$B$5*(1-'DCF_ADBE'!$B$6)+'DCF_ADBE'!$B$7-'DCF_ADBE'!$B$8)-'DCF_ADBE'!$B$3*(1+D30)^2*D30*'DCF_ADBE'!$B$9)/(1+'DCF_ADBE'!$B$10)^3+('DCF_ADBE'!$B$3*(1+D30)^4*('DCF_ADBE'!$B$5*(1-'DCF_ADBE'!$B$6)+'DCF_ADBE'!$B$7-'DCF_ADBE'!$B$8)-'DCF_ADBE'!$B$3*(1+D30)^3*D30*'DCF_ADBE'!$B$9)/(1+'DCF_ADBE'!$B$10)^4+('DCF_ADBE'!$B$3*(1+D30)^5*('DCF_ADBE'!$B$5*(1-'DCF_ADBE'!$B$6)+'DCF_ADBE'!$B$7-'DCF_ADBE'!$B$8)-'DCF_ADBE'!$B$3*(1+D30)^4*D30*'DCF_ADBE'!$B$9)/(1+'DCF_ADBE'!$B$10)^5+('DCF_ADBE'!$B$3*(1+D30)^5*(1+'DCF_ADBE'!$B$11)*('DCF_ADBE'!$B$5*(1-'DCF_ADBE'!$B$6)+'DCF_ADBE'!$B$7-'DCF_ADBE'!$B$8)-'DCF_ADBE'!$B$3*(1+D30)^5*'DCF_ADBE'!$B$11*'DCF_ADBE'!$B$9)/('DCF_ADBE'!$B$10-'DCF_ADBE'!$B$11)/(1+'DCF_ADBE'!$B$10)^5-'DCF_ADBE'!$B$13)/'DCF_ADBE'!$B$12))</f>
        <v/>
      </c>
    </row>
    <row r="31" spans="1:5" x14ac:dyDescent="0.25">
      <c r="A31" s="4">
        <v>23</v>
      </c>
      <c r="B31" s="4" t="str">
        <f>IF($B$3="","",IF(E30&lt;$B$3,D30,B30))</f>
        <v/>
      </c>
      <c r="C31" s="4" t="str">
        <f>IF($B$3="","",IF(E30&lt;$B$3,C30,D30))</f>
        <v/>
      </c>
      <c r="D31" s="4" t="str">
        <f>IF($B$3="","",(B31+C31)/2)</f>
        <v/>
      </c>
      <c r="E31" s="4" t="str">
        <f>IF($B$3="","",((('DCF_ADBE'!$B$3*(1+D31)^1*('DCF_ADBE'!$B$5*(1-'DCF_ADBE'!$B$6)+'DCF_ADBE'!$B$7-'DCF_ADBE'!$B$8)-'DCF_ADBE'!$B$3*(1+D31)^0*D31*'DCF_ADBE'!$B$9)/(1+'DCF_ADBE'!$B$10)^1+('DCF_ADBE'!$B$3*(1+D31)^2*('DCF_ADBE'!$B$5*(1-'DCF_ADBE'!$B$6)+'DCF_ADBE'!$B$7-'DCF_ADBE'!$B$8)-'DCF_ADBE'!$B$3*(1+D31)^1*D31*'DCF_ADBE'!$B$9)/(1+'DCF_ADBE'!$B$10)^2+('DCF_ADBE'!$B$3*(1+D31)^3*('DCF_ADBE'!$B$5*(1-'DCF_ADBE'!$B$6)+'DCF_ADBE'!$B$7-'DCF_ADBE'!$B$8)-'DCF_ADBE'!$B$3*(1+D31)^2*D31*'DCF_ADBE'!$B$9)/(1+'DCF_ADBE'!$B$10)^3+('DCF_ADBE'!$B$3*(1+D31)^4*('DCF_ADBE'!$B$5*(1-'DCF_ADBE'!$B$6)+'DCF_ADBE'!$B$7-'DCF_ADBE'!$B$8)-'DCF_ADBE'!$B$3*(1+D31)^3*D31*'DCF_ADBE'!$B$9)/(1+'DCF_ADBE'!$B$10)^4+('DCF_ADBE'!$B$3*(1+D31)^5*('DCF_ADBE'!$B$5*(1-'DCF_ADBE'!$B$6)+'DCF_ADBE'!$B$7-'DCF_ADBE'!$B$8)-'DCF_ADBE'!$B$3*(1+D31)^4*D31*'DCF_ADBE'!$B$9)/(1+'DCF_ADBE'!$B$10)^5+('DCF_ADBE'!$B$3*(1+D31)^5*(1+'DCF_ADBE'!$B$11)*('DCF_ADBE'!$B$5*(1-'DCF_ADBE'!$B$6)+'DCF_ADBE'!$B$7-'DCF_ADBE'!$B$8)-'DCF_ADBE'!$B$3*(1+D31)^5*'DCF_ADBE'!$B$11*'DCF_ADBE'!$B$9)/('DCF_ADBE'!$B$10-'DCF_ADBE'!$B$11)/(1+'DCF_ADBE'!$B$10)^5-'DCF_ADBE'!$B$13)/'DCF_ADBE'!$B$12))</f>
        <v/>
      </c>
    </row>
    <row r="32" spans="1:5" x14ac:dyDescent="0.25">
      <c r="A32" s="4">
        <v>24</v>
      </c>
      <c r="B32" s="4" t="str">
        <f>IF($B$3="","",IF(E31&lt;$B$3,D31,B31))</f>
        <v/>
      </c>
      <c r="C32" s="4" t="str">
        <f>IF($B$3="","",IF(E31&lt;$B$3,C31,D31))</f>
        <v/>
      </c>
      <c r="D32" s="4" t="str">
        <f>IF($B$3="","",(B32+C32)/2)</f>
        <v/>
      </c>
      <c r="E32" s="4" t="str">
        <f>IF($B$3="","",((('DCF_ADBE'!$B$3*(1+D32)^1*('DCF_ADBE'!$B$5*(1-'DCF_ADBE'!$B$6)+'DCF_ADBE'!$B$7-'DCF_ADBE'!$B$8)-'DCF_ADBE'!$B$3*(1+D32)^0*D32*'DCF_ADBE'!$B$9)/(1+'DCF_ADBE'!$B$10)^1+('DCF_ADBE'!$B$3*(1+D32)^2*('DCF_ADBE'!$B$5*(1-'DCF_ADBE'!$B$6)+'DCF_ADBE'!$B$7-'DCF_ADBE'!$B$8)-'DCF_ADBE'!$B$3*(1+D32)^1*D32*'DCF_ADBE'!$B$9)/(1+'DCF_ADBE'!$B$10)^2+('DCF_ADBE'!$B$3*(1+D32)^3*('DCF_ADBE'!$B$5*(1-'DCF_ADBE'!$B$6)+'DCF_ADBE'!$B$7-'DCF_ADBE'!$B$8)-'DCF_ADBE'!$B$3*(1+D32)^2*D32*'DCF_ADBE'!$B$9)/(1+'DCF_ADBE'!$B$10)^3+('DCF_ADBE'!$B$3*(1+D32)^4*('DCF_ADBE'!$B$5*(1-'DCF_ADBE'!$B$6)+'DCF_ADBE'!$B$7-'DCF_ADBE'!$B$8)-'DCF_ADBE'!$B$3*(1+D32)^3*D32*'DCF_ADBE'!$B$9)/(1+'DCF_ADBE'!$B$10)^4+('DCF_ADBE'!$B$3*(1+D32)^5*('DCF_ADBE'!$B$5*(1-'DCF_ADBE'!$B$6)+'DCF_ADBE'!$B$7-'DCF_ADBE'!$B$8)-'DCF_ADBE'!$B$3*(1+D32)^4*D32*'DCF_ADBE'!$B$9)/(1+'DCF_ADBE'!$B$10)^5+('DCF_ADBE'!$B$3*(1+D32)^5*(1+'DCF_ADBE'!$B$11)*('DCF_ADBE'!$B$5*(1-'DCF_ADBE'!$B$6)+'DCF_ADBE'!$B$7-'DCF_ADBE'!$B$8)-'DCF_ADBE'!$B$3*(1+D32)^5*'DCF_ADBE'!$B$11*'DCF_ADBE'!$B$9)/('DCF_ADBE'!$B$10-'DCF_ADBE'!$B$11)/(1+'DCF_ADBE'!$B$10)^5-'DCF_ADBE'!$B$13)/'DCF_ADBE'!$B$12))</f>
        <v/>
      </c>
    </row>
    <row r="33" spans="1:5" x14ac:dyDescent="0.25">
      <c r="A33" s="4">
        <v>25</v>
      </c>
      <c r="B33" s="4" t="str">
        <f>IF($B$3="","",IF(E32&lt;$B$3,D32,B32))</f>
        <v/>
      </c>
      <c r="C33" s="4" t="str">
        <f>IF($B$3="","",IF(E32&lt;$B$3,C32,D32))</f>
        <v/>
      </c>
      <c r="D33" s="4" t="str">
        <f>IF($B$3="","",(B33+C33)/2)</f>
        <v/>
      </c>
      <c r="E33" s="4" t="str">
        <f>IF($B$3="","",((('DCF_ADBE'!$B$3*(1+D33)^1*('DCF_ADBE'!$B$5*(1-'DCF_ADBE'!$B$6)+'DCF_ADBE'!$B$7-'DCF_ADBE'!$B$8)-'DCF_ADBE'!$B$3*(1+D33)^0*D33*'DCF_ADBE'!$B$9)/(1+'DCF_ADBE'!$B$10)^1+('DCF_ADBE'!$B$3*(1+D33)^2*('DCF_ADBE'!$B$5*(1-'DCF_ADBE'!$B$6)+'DCF_ADBE'!$B$7-'DCF_ADBE'!$B$8)-'DCF_ADBE'!$B$3*(1+D33)^1*D33*'DCF_ADBE'!$B$9)/(1+'DCF_ADBE'!$B$10)^2+('DCF_ADBE'!$B$3*(1+D33)^3*('DCF_ADBE'!$B$5*(1-'DCF_ADBE'!$B$6)+'DCF_ADBE'!$B$7-'DCF_ADBE'!$B$8)-'DCF_ADBE'!$B$3*(1+D33)^2*D33*'DCF_ADBE'!$B$9)/(1+'DCF_ADBE'!$B$10)^3+('DCF_ADBE'!$B$3*(1+D33)^4*('DCF_ADBE'!$B$5*(1-'DCF_ADBE'!$B$6)+'DCF_ADBE'!$B$7-'DCF_ADBE'!$B$8)-'DCF_ADBE'!$B$3*(1+D33)^3*D33*'DCF_ADBE'!$B$9)/(1+'DCF_ADBE'!$B$10)^4+('DCF_ADBE'!$B$3*(1+D33)^5*('DCF_ADBE'!$B$5*(1-'DCF_ADBE'!$B$6)+'DCF_ADBE'!$B$7-'DCF_ADBE'!$B$8)-'DCF_ADBE'!$B$3*(1+D33)^4*D33*'DCF_ADBE'!$B$9)/(1+'DCF_ADBE'!$B$10)^5+('DCF_ADBE'!$B$3*(1+D33)^5*(1+'DCF_ADBE'!$B$11)*('DCF_ADBE'!$B$5*(1-'DCF_ADBE'!$B$6)+'DCF_ADBE'!$B$7-'DCF_ADBE'!$B$8)-'DCF_ADBE'!$B$3*(1+D33)^5*'DCF_ADBE'!$B$11*'DCF_ADBE'!$B$9)/('DCF_ADBE'!$B$10-'DCF_ADBE'!$B$11)/(1+'DCF_ADBE'!$B$10)^5-'DCF_ADBE'!$B$13)/'DCF_ADBE'!$B$12))</f>
        <v/>
      </c>
    </row>
    <row r="34" spans="1:5" x14ac:dyDescent="0.25">
      <c r="A34" s="4">
        <v>26</v>
      </c>
      <c r="B34" s="4" t="str">
        <f>IF($B$3="","",IF(E33&lt;$B$3,D33,B33))</f>
        <v/>
      </c>
      <c r="C34" s="4" t="str">
        <f>IF($B$3="","",IF(E33&lt;$B$3,C33,D33))</f>
        <v/>
      </c>
      <c r="D34" s="4" t="str">
        <f>IF($B$3="","",(B34+C34)/2)</f>
        <v/>
      </c>
      <c r="E34" s="4" t="str">
        <f>IF($B$3="","",((('DCF_ADBE'!$B$3*(1+D34)^1*('DCF_ADBE'!$B$5*(1-'DCF_ADBE'!$B$6)+'DCF_ADBE'!$B$7-'DCF_ADBE'!$B$8)-'DCF_ADBE'!$B$3*(1+D34)^0*D34*'DCF_ADBE'!$B$9)/(1+'DCF_ADBE'!$B$10)^1+('DCF_ADBE'!$B$3*(1+D34)^2*('DCF_ADBE'!$B$5*(1-'DCF_ADBE'!$B$6)+'DCF_ADBE'!$B$7-'DCF_ADBE'!$B$8)-'DCF_ADBE'!$B$3*(1+D34)^1*D34*'DCF_ADBE'!$B$9)/(1+'DCF_ADBE'!$B$10)^2+('DCF_ADBE'!$B$3*(1+D34)^3*('DCF_ADBE'!$B$5*(1-'DCF_ADBE'!$B$6)+'DCF_ADBE'!$B$7-'DCF_ADBE'!$B$8)-'DCF_ADBE'!$B$3*(1+D34)^2*D34*'DCF_ADBE'!$B$9)/(1+'DCF_ADBE'!$B$10)^3+('DCF_ADBE'!$B$3*(1+D34)^4*('DCF_ADBE'!$B$5*(1-'DCF_ADBE'!$B$6)+'DCF_ADBE'!$B$7-'DCF_ADBE'!$B$8)-'DCF_ADBE'!$B$3*(1+D34)^3*D34*'DCF_ADBE'!$B$9)/(1+'DCF_ADBE'!$B$10)^4+('DCF_ADBE'!$B$3*(1+D34)^5*('DCF_ADBE'!$B$5*(1-'DCF_ADBE'!$B$6)+'DCF_ADBE'!$B$7-'DCF_ADBE'!$B$8)-'DCF_ADBE'!$B$3*(1+D34)^4*D34*'DCF_ADBE'!$B$9)/(1+'DCF_ADBE'!$B$10)^5+('DCF_ADBE'!$B$3*(1+D34)^5*(1+'DCF_ADBE'!$B$11)*('DCF_ADBE'!$B$5*(1-'DCF_ADBE'!$B$6)+'DCF_ADBE'!$B$7-'DCF_ADBE'!$B$8)-'DCF_ADBE'!$B$3*(1+D34)^5*'DCF_ADBE'!$B$11*'DCF_ADBE'!$B$9)/('DCF_ADBE'!$B$10-'DCF_ADBE'!$B$11)/(1+'DCF_ADBE'!$B$10)^5-'DCF_ADBE'!$B$13)/'DCF_ADBE'!$B$12))</f>
        <v/>
      </c>
    </row>
    <row r="35" spans="1:5" x14ac:dyDescent="0.25">
      <c r="A35" s="4">
        <v>27</v>
      </c>
      <c r="B35" s="4" t="str">
        <f>IF($B$3="","",IF(E34&lt;$B$3,D34,B34))</f>
        <v/>
      </c>
      <c r="C35" s="4" t="str">
        <f>IF($B$3="","",IF(E34&lt;$B$3,C34,D34))</f>
        <v/>
      </c>
      <c r="D35" s="4" t="str">
        <f>IF($B$3="","",(B35+C35)/2)</f>
        <v/>
      </c>
      <c r="E35" s="4" t="str">
        <f>IF($B$3="","",((('DCF_ADBE'!$B$3*(1+D35)^1*('DCF_ADBE'!$B$5*(1-'DCF_ADBE'!$B$6)+'DCF_ADBE'!$B$7-'DCF_ADBE'!$B$8)-'DCF_ADBE'!$B$3*(1+D35)^0*D35*'DCF_ADBE'!$B$9)/(1+'DCF_ADBE'!$B$10)^1+('DCF_ADBE'!$B$3*(1+D35)^2*('DCF_ADBE'!$B$5*(1-'DCF_ADBE'!$B$6)+'DCF_ADBE'!$B$7-'DCF_ADBE'!$B$8)-'DCF_ADBE'!$B$3*(1+D35)^1*D35*'DCF_ADBE'!$B$9)/(1+'DCF_ADBE'!$B$10)^2+('DCF_ADBE'!$B$3*(1+D35)^3*('DCF_ADBE'!$B$5*(1-'DCF_ADBE'!$B$6)+'DCF_ADBE'!$B$7-'DCF_ADBE'!$B$8)-'DCF_ADBE'!$B$3*(1+D35)^2*D35*'DCF_ADBE'!$B$9)/(1+'DCF_ADBE'!$B$10)^3+('DCF_ADBE'!$B$3*(1+D35)^4*('DCF_ADBE'!$B$5*(1-'DCF_ADBE'!$B$6)+'DCF_ADBE'!$B$7-'DCF_ADBE'!$B$8)-'DCF_ADBE'!$B$3*(1+D35)^3*D35*'DCF_ADBE'!$B$9)/(1+'DCF_ADBE'!$B$10)^4+('DCF_ADBE'!$B$3*(1+D35)^5*('DCF_ADBE'!$B$5*(1-'DCF_ADBE'!$B$6)+'DCF_ADBE'!$B$7-'DCF_ADBE'!$B$8)-'DCF_ADBE'!$B$3*(1+D35)^4*D35*'DCF_ADBE'!$B$9)/(1+'DCF_ADBE'!$B$10)^5+('DCF_ADBE'!$B$3*(1+D35)^5*(1+'DCF_ADBE'!$B$11)*('DCF_ADBE'!$B$5*(1-'DCF_ADBE'!$B$6)+'DCF_ADBE'!$B$7-'DCF_ADBE'!$B$8)-'DCF_ADBE'!$B$3*(1+D35)^5*'DCF_ADBE'!$B$11*'DCF_ADBE'!$B$9)/('DCF_ADBE'!$B$10-'DCF_ADBE'!$B$11)/(1+'DCF_ADBE'!$B$10)^5-'DCF_ADBE'!$B$13)/'DCF_ADBE'!$B$12))</f>
        <v/>
      </c>
    </row>
    <row r="36" spans="1:5" x14ac:dyDescent="0.25">
      <c r="A36" s="4">
        <v>28</v>
      </c>
      <c r="B36" s="4" t="str">
        <f>IF($B$3="","",IF(E35&lt;$B$3,D35,B35))</f>
        <v/>
      </c>
      <c r="C36" s="4" t="str">
        <f>IF($B$3="","",IF(E35&lt;$B$3,C35,D35))</f>
        <v/>
      </c>
      <c r="D36" s="4" t="str">
        <f>IF($B$3="","",(B36+C36)/2)</f>
        <v/>
      </c>
      <c r="E36" s="4" t="str">
        <f>IF($B$3="","",((('DCF_ADBE'!$B$3*(1+D36)^1*('DCF_ADBE'!$B$5*(1-'DCF_ADBE'!$B$6)+'DCF_ADBE'!$B$7-'DCF_ADBE'!$B$8)-'DCF_ADBE'!$B$3*(1+D36)^0*D36*'DCF_ADBE'!$B$9)/(1+'DCF_ADBE'!$B$10)^1+('DCF_ADBE'!$B$3*(1+D36)^2*('DCF_ADBE'!$B$5*(1-'DCF_ADBE'!$B$6)+'DCF_ADBE'!$B$7-'DCF_ADBE'!$B$8)-'DCF_ADBE'!$B$3*(1+D36)^1*D36*'DCF_ADBE'!$B$9)/(1+'DCF_ADBE'!$B$10)^2+('DCF_ADBE'!$B$3*(1+D36)^3*('DCF_ADBE'!$B$5*(1-'DCF_ADBE'!$B$6)+'DCF_ADBE'!$B$7-'DCF_ADBE'!$B$8)-'DCF_ADBE'!$B$3*(1+D36)^2*D36*'DCF_ADBE'!$B$9)/(1+'DCF_ADBE'!$B$10)^3+('DCF_ADBE'!$B$3*(1+D36)^4*('DCF_ADBE'!$B$5*(1-'DCF_ADBE'!$B$6)+'DCF_ADBE'!$B$7-'DCF_ADBE'!$B$8)-'DCF_ADBE'!$B$3*(1+D36)^3*D36*'DCF_ADBE'!$B$9)/(1+'DCF_ADBE'!$B$10)^4+('DCF_ADBE'!$B$3*(1+D36)^5*('DCF_ADBE'!$B$5*(1-'DCF_ADBE'!$B$6)+'DCF_ADBE'!$B$7-'DCF_ADBE'!$B$8)-'DCF_ADBE'!$B$3*(1+D36)^4*D36*'DCF_ADBE'!$B$9)/(1+'DCF_ADBE'!$B$10)^5+('DCF_ADBE'!$B$3*(1+D36)^5*(1+'DCF_ADBE'!$B$11)*('DCF_ADBE'!$B$5*(1-'DCF_ADBE'!$B$6)+'DCF_ADBE'!$B$7-'DCF_ADBE'!$B$8)-'DCF_ADBE'!$B$3*(1+D36)^5*'DCF_ADBE'!$B$11*'DCF_ADBE'!$B$9)/('DCF_ADBE'!$B$10-'DCF_ADBE'!$B$11)/(1+'DCF_ADBE'!$B$10)^5-'DCF_ADBE'!$B$13)/'DCF_ADBE'!$B$12))</f>
        <v/>
      </c>
    </row>
    <row r="37" spans="1:5" x14ac:dyDescent="0.25">
      <c r="A37" s="4">
        <v>29</v>
      </c>
      <c r="B37" s="4" t="str">
        <f>IF($B$3="","",IF(E36&lt;$B$3,D36,B36))</f>
        <v/>
      </c>
      <c r="C37" s="4" t="str">
        <f>IF($B$3="","",IF(E36&lt;$B$3,C36,D36))</f>
        <v/>
      </c>
      <c r="D37" s="4" t="str">
        <f>IF($B$3="","",(B37+C37)/2)</f>
        <v/>
      </c>
      <c r="E37" s="4" t="str">
        <f>IF($B$3="","",((('DCF_ADBE'!$B$3*(1+D37)^1*('DCF_ADBE'!$B$5*(1-'DCF_ADBE'!$B$6)+'DCF_ADBE'!$B$7-'DCF_ADBE'!$B$8)-'DCF_ADBE'!$B$3*(1+D37)^0*D37*'DCF_ADBE'!$B$9)/(1+'DCF_ADBE'!$B$10)^1+('DCF_ADBE'!$B$3*(1+D37)^2*('DCF_ADBE'!$B$5*(1-'DCF_ADBE'!$B$6)+'DCF_ADBE'!$B$7-'DCF_ADBE'!$B$8)-'DCF_ADBE'!$B$3*(1+D37)^1*D37*'DCF_ADBE'!$B$9)/(1+'DCF_ADBE'!$B$10)^2+('DCF_ADBE'!$B$3*(1+D37)^3*('DCF_ADBE'!$B$5*(1-'DCF_ADBE'!$B$6)+'DCF_ADBE'!$B$7-'DCF_ADBE'!$B$8)-'DCF_ADBE'!$B$3*(1+D37)^2*D37*'DCF_ADBE'!$B$9)/(1+'DCF_ADBE'!$B$10)^3+('DCF_ADBE'!$B$3*(1+D37)^4*('DCF_ADBE'!$B$5*(1-'DCF_ADBE'!$B$6)+'DCF_ADBE'!$B$7-'DCF_ADBE'!$B$8)-'DCF_ADBE'!$B$3*(1+D37)^3*D37*'DCF_ADBE'!$B$9)/(1+'DCF_ADBE'!$B$10)^4+('DCF_ADBE'!$B$3*(1+D37)^5*('DCF_ADBE'!$B$5*(1-'DCF_ADBE'!$B$6)+'DCF_ADBE'!$B$7-'DCF_ADBE'!$B$8)-'DCF_ADBE'!$B$3*(1+D37)^4*D37*'DCF_ADBE'!$B$9)/(1+'DCF_ADBE'!$B$10)^5+('DCF_ADBE'!$B$3*(1+D37)^5*(1+'DCF_ADBE'!$B$11)*('DCF_ADBE'!$B$5*(1-'DCF_ADBE'!$B$6)+'DCF_ADBE'!$B$7-'DCF_ADBE'!$B$8)-'DCF_ADBE'!$B$3*(1+D37)^5*'DCF_ADBE'!$B$11*'DCF_ADBE'!$B$9)/('DCF_ADBE'!$B$10-'DCF_ADBE'!$B$11)/(1+'DCF_ADBE'!$B$10)^5-'DCF_ADBE'!$B$13)/'DCF_ADBE'!$B$12))</f>
        <v/>
      </c>
    </row>
    <row r="38" spans="1:5" x14ac:dyDescent="0.25">
      <c r="A38" s="4">
        <v>30</v>
      </c>
      <c r="B38" s="4" t="str">
        <f>IF($B$3="","",IF(E37&lt;$B$3,D37,B37))</f>
        <v/>
      </c>
      <c r="C38" s="4" t="str">
        <f>IF($B$3="","",IF(E37&lt;$B$3,C37,D37))</f>
        <v/>
      </c>
      <c r="D38" s="4" t="str">
        <f>IF($B$3="","",(B38+C38)/2)</f>
        <v/>
      </c>
      <c r="E38" s="4" t="str">
        <f>IF($B$3="","",((('DCF_ADBE'!$B$3*(1+D38)^1*('DCF_ADBE'!$B$5*(1-'DCF_ADBE'!$B$6)+'DCF_ADBE'!$B$7-'DCF_ADBE'!$B$8)-'DCF_ADBE'!$B$3*(1+D38)^0*D38*'DCF_ADBE'!$B$9)/(1+'DCF_ADBE'!$B$10)^1+('DCF_ADBE'!$B$3*(1+D38)^2*('DCF_ADBE'!$B$5*(1-'DCF_ADBE'!$B$6)+'DCF_ADBE'!$B$7-'DCF_ADBE'!$B$8)-'DCF_ADBE'!$B$3*(1+D38)^1*D38*'DCF_ADBE'!$B$9)/(1+'DCF_ADBE'!$B$10)^2+('DCF_ADBE'!$B$3*(1+D38)^3*('DCF_ADBE'!$B$5*(1-'DCF_ADBE'!$B$6)+'DCF_ADBE'!$B$7-'DCF_ADBE'!$B$8)-'DCF_ADBE'!$B$3*(1+D38)^2*D38*'DCF_ADBE'!$B$9)/(1+'DCF_ADBE'!$B$10)^3+('DCF_ADBE'!$B$3*(1+D38)^4*('DCF_ADBE'!$B$5*(1-'DCF_ADBE'!$B$6)+'DCF_ADBE'!$B$7-'DCF_ADBE'!$B$8)-'DCF_ADBE'!$B$3*(1+D38)^3*D38*'DCF_ADBE'!$B$9)/(1+'DCF_ADBE'!$B$10)^4+('DCF_ADBE'!$B$3*(1+D38)^5*('DCF_ADBE'!$B$5*(1-'DCF_ADBE'!$B$6)+'DCF_ADBE'!$B$7-'DCF_ADBE'!$B$8)-'DCF_ADBE'!$B$3*(1+D38)^4*D38*'DCF_ADBE'!$B$9)/(1+'DCF_ADBE'!$B$10)^5+('DCF_ADBE'!$B$3*(1+D38)^5*(1+'DCF_ADBE'!$B$11)*('DCF_ADBE'!$B$5*(1-'DCF_ADBE'!$B$6)+'DCF_ADBE'!$B$7-'DCF_ADBE'!$B$8)-'DCF_ADBE'!$B$3*(1+D38)^5*'DCF_ADBE'!$B$11*'DCF_ADBE'!$B$9)/('DCF_ADBE'!$B$10-'DCF_ADBE'!$B$11)/(1+'DCF_ADBE'!$B$10)^5-'DCF_ADBE'!$B$13)/'DCF_ADBE'!$B$12))</f>
        <v/>
      </c>
    </row>
    <row r="39" spans="1:5" x14ac:dyDescent="0.25">
      <c r="A39" s="4">
        <v>31</v>
      </c>
      <c r="B39" s="4" t="str">
        <f>IF($B$3="","",IF(E38&lt;$B$3,D38,B38))</f>
        <v/>
      </c>
      <c r="C39" s="4" t="str">
        <f>IF($B$3="","",IF(E38&lt;$B$3,C38,D38))</f>
        <v/>
      </c>
      <c r="D39" s="4" t="str">
        <f>IF($B$3="","",(B39+C39)/2)</f>
        <v/>
      </c>
      <c r="E39" s="4" t="str">
        <f>IF($B$3="","",((('DCF_ADBE'!$B$3*(1+D39)^1*('DCF_ADBE'!$B$5*(1-'DCF_ADBE'!$B$6)+'DCF_ADBE'!$B$7-'DCF_ADBE'!$B$8)-'DCF_ADBE'!$B$3*(1+D39)^0*D39*'DCF_ADBE'!$B$9)/(1+'DCF_ADBE'!$B$10)^1+('DCF_ADBE'!$B$3*(1+D39)^2*('DCF_ADBE'!$B$5*(1-'DCF_ADBE'!$B$6)+'DCF_ADBE'!$B$7-'DCF_ADBE'!$B$8)-'DCF_ADBE'!$B$3*(1+D39)^1*D39*'DCF_ADBE'!$B$9)/(1+'DCF_ADBE'!$B$10)^2+('DCF_ADBE'!$B$3*(1+D39)^3*('DCF_ADBE'!$B$5*(1-'DCF_ADBE'!$B$6)+'DCF_ADBE'!$B$7-'DCF_ADBE'!$B$8)-'DCF_ADBE'!$B$3*(1+D39)^2*D39*'DCF_ADBE'!$B$9)/(1+'DCF_ADBE'!$B$10)^3+('DCF_ADBE'!$B$3*(1+D39)^4*('DCF_ADBE'!$B$5*(1-'DCF_ADBE'!$B$6)+'DCF_ADBE'!$B$7-'DCF_ADBE'!$B$8)-'DCF_ADBE'!$B$3*(1+D39)^3*D39*'DCF_ADBE'!$B$9)/(1+'DCF_ADBE'!$B$10)^4+('DCF_ADBE'!$B$3*(1+D39)^5*('DCF_ADBE'!$B$5*(1-'DCF_ADBE'!$B$6)+'DCF_ADBE'!$B$7-'DCF_ADBE'!$B$8)-'DCF_ADBE'!$B$3*(1+D39)^4*D39*'DCF_ADBE'!$B$9)/(1+'DCF_ADBE'!$B$10)^5+('DCF_ADBE'!$B$3*(1+D39)^5*(1+'DCF_ADBE'!$B$11)*('DCF_ADBE'!$B$5*(1-'DCF_ADBE'!$B$6)+'DCF_ADBE'!$B$7-'DCF_ADBE'!$B$8)-'DCF_ADBE'!$B$3*(1+D39)^5*'DCF_ADBE'!$B$11*'DCF_ADBE'!$B$9)/('DCF_ADBE'!$B$10-'DCF_ADBE'!$B$11)/(1+'DCF_ADBE'!$B$10)^5-'DCF_ADBE'!$B$13)/'DCF_ADBE'!$B$12))</f>
        <v/>
      </c>
    </row>
    <row r="40" spans="1:5" x14ac:dyDescent="0.25">
      <c r="A40" s="4">
        <v>32</v>
      </c>
      <c r="B40" s="4" t="str">
        <f>IF($B$3="","",IF(E39&lt;$B$3,D39,B39))</f>
        <v/>
      </c>
      <c r="C40" s="4" t="str">
        <f>IF($B$3="","",IF(E39&lt;$B$3,C39,D39))</f>
        <v/>
      </c>
      <c r="D40" s="4" t="str">
        <f>IF($B$3="","",(B40+C40)/2)</f>
        <v/>
      </c>
      <c r="E40" s="4" t="str">
        <f>IF($B$3="","",((('DCF_ADBE'!$B$3*(1+D40)^1*('DCF_ADBE'!$B$5*(1-'DCF_ADBE'!$B$6)+'DCF_ADBE'!$B$7-'DCF_ADBE'!$B$8)-'DCF_ADBE'!$B$3*(1+D40)^0*D40*'DCF_ADBE'!$B$9)/(1+'DCF_ADBE'!$B$10)^1+('DCF_ADBE'!$B$3*(1+D40)^2*('DCF_ADBE'!$B$5*(1-'DCF_ADBE'!$B$6)+'DCF_ADBE'!$B$7-'DCF_ADBE'!$B$8)-'DCF_ADBE'!$B$3*(1+D40)^1*D40*'DCF_ADBE'!$B$9)/(1+'DCF_ADBE'!$B$10)^2+('DCF_ADBE'!$B$3*(1+D40)^3*('DCF_ADBE'!$B$5*(1-'DCF_ADBE'!$B$6)+'DCF_ADBE'!$B$7-'DCF_ADBE'!$B$8)-'DCF_ADBE'!$B$3*(1+D40)^2*D40*'DCF_ADBE'!$B$9)/(1+'DCF_ADBE'!$B$10)^3+('DCF_ADBE'!$B$3*(1+D40)^4*('DCF_ADBE'!$B$5*(1-'DCF_ADBE'!$B$6)+'DCF_ADBE'!$B$7-'DCF_ADBE'!$B$8)-'DCF_ADBE'!$B$3*(1+D40)^3*D40*'DCF_ADBE'!$B$9)/(1+'DCF_ADBE'!$B$10)^4+('DCF_ADBE'!$B$3*(1+D40)^5*('DCF_ADBE'!$B$5*(1-'DCF_ADBE'!$B$6)+'DCF_ADBE'!$B$7-'DCF_ADBE'!$B$8)-'DCF_ADBE'!$B$3*(1+D40)^4*D40*'DCF_ADBE'!$B$9)/(1+'DCF_ADBE'!$B$10)^5+('DCF_ADBE'!$B$3*(1+D40)^5*(1+'DCF_ADBE'!$B$11)*('DCF_ADBE'!$B$5*(1-'DCF_ADBE'!$B$6)+'DCF_ADBE'!$B$7-'DCF_ADBE'!$B$8)-'DCF_ADBE'!$B$3*(1+D40)^5*'DCF_ADBE'!$B$11*'DCF_ADBE'!$B$9)/('DCF_ADBE'!$B$10-'DCF_ADBE'!$B$11)/(1+'DCF_ADBE'!$B$10)^5-'DCF_ADBE'!$B$13)/'DCF_ADBE'!$B$12))</f>
        <v/>
      </c>
    </row>
    <row r="41" spans="1:5" x14ac:dyDescent="0.25">
      <c r="A41" s="4">
        <v>33</v>
      </c>
      <c r="B41" s="4" t="str">
        <f>IF($B$3="","",IF(E40&lt;$B$3,D40,B40))</f>
        <v/>
      </c>
      <c r="C41" s="4" t="str">
        <f>IF($B$3="","",IF(E40&lt;$B$3,C40,D40))</f>
        <v/>
      </c>
      <c r="D41" s="4" t="str">
        <f>IF($B$3="","",(B41+C41)/2)</f>
        <v/>
      </c>
      <c r="E41" s="4" t="str">
        <f>IF($B$3="","",((('DCF_ADBE'!$B$3*(1+D41)^1*('DCF_ADBE'!$B$5*(1-'DCF_ADBE'!$B$6)+'DCF_ADBE'!$B$7-'DCF_ADBE'!$B$8)-'DCF_ADBE'!$B$3*(1+D41)^0*D41*'DCF_ADBE'!$B$9)/(1+'DCF_ADBE'!$B$10)^1+('DCF_ADBE'!$B$3*(1+D41)^2*('DCF_ADBE'!$B$5*(1-'DCF_ADBE'!$B$6)+'DCF_ADBE'!$B$7-'DCF_ADBE'!$B$8)-'DCF_ADBE'!$B$3*(1+D41)^1*D41*'DCF_ADBE'!$B$9)/(1+'DCF_ADBE'!$B$10)^2+('DCF_ADBE'!$B$3*(1+D41)^3*('DCF_ADBE'!$B$5*(1-'DCF_ADBE'!$B$6)+'DCF_ADBE'!$B$7-'DCF_ADBE'!$B$8)-'DCF_ADBE'!$B$3*(1+D41)^2*D41*'DCF_ADBE'!$B$9)/(1+'DCF_ADBE'!$B$10)^3+('DCF_ADBE'!$B$3*(1+D41)^4*('DCF_ADBE'!$B$5*(1-'DCF_ADBE'!$B$6)+'DCF_ADBE'!$B$7-'DCF_ADBE'!$B$8)-'DCF_ADBE'!$B$3*(1+D41)^3*D41*'DCF_ADBE'!$B$9)/(1+'DCF_ADBE'!$B$10)^4+('DCF_ADBE'!$B$3*(1+D41)^5*('DCF_ADBE'!$B$5*(1-'DCF_ADBE'!$B$6)+'DCF_ADBE'!$B$7-'DCF_ADBE'!$B$8)-'DCF_ADBE'!$B$3*(1+D41)^4*D41*'DCF_ADBE'!$B$9)/(1+'DCF_ADBE'!$B$10)^5+('DCF_ADBE'!$B$3*(1+D41)^5*(1+'DCF_ADBE'!$B$11)*('DCF_ADBE'!$B$5*(1-'DCF_ADBE'!$B$6)+'DCF_ADBE'!$B$7-'DCF_ADBE'!$B$8)-'DCF_ADBE'!$B$3*(1+D41)^5*'DCF_ADBE'!$B$11*'DCF_ADBE'!$B$9)/('DCF_ADBE'!$B$10-'DCF_ADBE'!$B$11)/(1+'DCF_ADBE'!$B$10)^5-'DCF_ADBE'!$B$13)/'DCF_ADBE'!$B$12))</f>
        <v/>
      </c>
    </row>
    <row r="42" spans="1:5" x14ac:dyDescent="0.25">
      <c r="A42" s="4">
        <v>34</v>
      </c>
      <c r="B42" s="4" t="str">
        <f>IF($B$3="","",IF(E41&lt;$B$3,D41,B41))</f>
        <v/>
      </c>
      <c r="C42" s="4" t="str">
        <f>IF($B$3="","",IF(E41&lt;$B$3,C41,D41))</f>
        <v/>
      </c>
      <c r="D42" s="4" t="str">
        <f>IF($B$3="","",(B42+C42)/2)</f>
        <v/>
      </c>
      <c r="E42" s="4" t="str">
        <f>IF($B$3="","",((('DCF_ADBE'!$B$3*(1+D42)^1*('DCF_ADBE'!$B$5*(1-'DCF_ADBE'!$B$6)+'DCF_ADBE'!$B$7-'DCF_ADBE'!$B$8)-'DCF_ADBE'!$B$3*(1+D42)^0*D42*'DCF_ADBE'!$B$9)/(1+'DCF_ADBE'!$B$10)^1+('DCF_ADBE'!$B$3*(1+D42)^2*('DCF_ADBE'!$B$5*(1-'DCF_ADBE'!$B$6)+'DCF_ADBE'!$B$7-'DCF_ADBE'!$B$8)-'DCF_ADBE'!$B$3*(1+D42)^1*D42*'DCF_ADBE'!$B$9)/(1+'DCF_ADBE'!$B$10)^2+('DCF_ADBE'!$B$3*(1+D42)^3*('DCF_ADBE'!$B$5*(1-'DCF_ADBE'!$B$6)+'DCF_ADBE'!$B$7-'DCF_ADBE'!$B$8)-'DCF_ADBE'!$B$3*(1+D42)^2*D42*'DCF_ADBE'!$B$9)/(1+'DCF_ADBE'!$B$10)^3+('DCF_ADBE'!$B$3*(1+D42)^4*('DCF_ADBE'!$B$5*(1-'DCF_ADBE'!$B$6)+'DCF_ADBE'!$B$7-'DCF_ADBE'!$B$8)-'DCF_ADBE'!$B$3*(1+D42)^3*D42*'DCF_ADBE'!$B$9)/(1+'DCF_ADBE'!$B$10)^4+('DCF_ADBE'!$B$3*(1+D42)^5*('DCF_ADBE'!$B$5*(1-'DCF_ADBE'!$B$6)+'DCF_ADBE'!$B$7-'DCF_ADBE'!$B$8)-'DCF_ADBE'!$B$3*(1+D42)^4*D42*'DCF_ADBE'!$B$9)/(1+'DCF_ADBE'!$B$10)^5+('DCF_ADBE'!$B$3*(1+D42)^5*(1+'DCF_ADBE'!$B$11)*('DCF_ADBE'!$B$5*(1-'DCF_ADBE'!$B$6)+'DCF_ADBE'!$B$7-'DCF_ADBE'!$B$8)-'DCF_ADBE'!$B$3*(1+D42)^5*'DCF_ADBE'!$B$11*'DCF_ADBE'!$B$9)/('DCF_ADBE'!$B$10-'DCF_ADBE'!$B$11)/(1+'DCF_ADBE'!$B$10)^5-'DCF_ADBE'!$B$13)/'DCF_ADBE'!$B$12))</f>
        <v/>
      </c>
    </row>
    <row r="43" spans="1:5" x14ac:dyDescent="0.25">
      <c r="A43" s="4">
        <v>35</v>
      </c>
      <c r="B43" s="4" t="str">
        <f>IF($B$3="","",IF(E42&lt;$B$3,D42,B42))</f>
        <v/>
      </c>
      <c r="C43" s="4" t="str">
        <f>IF($B$3="","",IF(E42&lt;$B$3,C42,D42))</f>
        <v/>
      </c>
      <c r="D43" s="4" t="str">
        <f>IF($B$3="","",(B43+C43)/2)</f>
        <v/>
      </c>
      <c r="E43" s="4" t="str">
        <f>IF($B$3="","",((('DCF_ADBE'!$B$3*(1+D43)^1*('DCF_ADBE'!$B$5*(1-'DCF_ADBE'!$B$6)+'DCF_ADBE'!$B$7-'DCF_ADBE'!$B$8)-'DCF_ADBE'!$B$3*(1+D43)^0*D43*'DCF_ADBE'!$B$9)/(1+'DCF_ADBE'!$B$10)^1+('DCF_ADBE'!$B$3*(1+D43)^2*('DCF_ADBE'!$B$5*(1-'DCF_ADBE'!$B$6)+'DCF_ADBE'!$B$7-'DCF_ADBE'!$B$8)-'DCF_ADBE'!$B$3*(1+D43)^1*D43*'DCF_ADBE'!$B$9)/(1+'DCF_ADBE'!$B$10)^2+('DCF_ADBE'!$B$3*(1+D43)^3*('DCF_ADBE'!$B$5*(1-'DCF_ADBE'!$B$6)+'DCF_ADBE'!$B$7-'DCF_ADBE'!$B$8)-'DCF_ADBE'!$B$3*(1+D43)^2*D43*'DCF_ADBE'!$B$9)/(1+'DCF_ADBE'!$B$10)^3+('DCF_ADBE'!$B$3*(1+D43)^4*('DCF_ADBE'!$B$5*(1-'DCF_ADBE'!$B$6)+'DCF_ADBE'!$B$7-'DCF_ADBE'!$B$8)-'DCF_ADBE'!$B$3*(1+D43)^3*D43*'DCF_ADBE'!$B$9)/(1+'DCF_ADBE'!$B$10)^4+('DCF_ADBE'!$B$3*(1+D43)^5*('DCF_ADBE'!$B$5*(1-'DCF_ADBE'!$B$6)+'DCF_ADBE'!$B$7-'DCF_ADBE'!$B$8)-'DCF_ADBE'!$B$3*(1+D43)^4*D43*'DCF_ADBE'!$B$9)/(1+'DCF_ADBE'!$B$10)^5+('DCF_ADBE'!$B$3*(1+D43)^5*(1+'DCF_ADBE'!$B$11)*('DCF_ADBE'!$B$5*(1-'DCF_ADBE'!$B$6)+'DCF_ADBE'!$B$7-'DCF_ADBE'!$B$8)-'DCF_ADBE'!$B$3*(1+D43)^5*'DCF_ADBE'!$B$11*'DCF_ADBE'!$B$9)/('DCF_ADBE'!$B$10-'DCF_ADBE'!$B$11)/(1+'DCF_ADBE'!$B$10)^5-'DCF_ADBE'!$B$13)/'DCF_ADBE'!$B$12))</f>
        <v/>
      </c>
    </row>
    <row r="44" spans="1:5" x14ac:dyDescent="0.25">
      <c r="A44" s="4">
        <v>36</v>
      </c>
      <c r="B44" s="4" t="str">
        <f>IF($B$3="","",IF(E43&lt;$B$3,D43,B43))</f>
        <v/>
      </c>
      <c r="C44" s="4" t="str">
        <f>IF($B$3="","",IF(E43&lt;$B$3,C43,D43))</f>
        <v/>
      </c>
      <c r="D44" s="4" t="str">
        <f>IF($B$3="","",(B44+C44)/2)</f>
        <v/>
      </c>
      <c r="E44" s="4" t="str">
        <f>IF($B$3="","",((('DCF_ADBE'!$B$3*(1+D44)^1*('DCF_ADBE'!$B$5*(1-'DCF_ADBE'!$B$6)+'DCF_ADBE'!$B$7-'DCF_ADBE'!$B$8)-'DCF_ADBE'!$B$3*(1+D44)^0*D44*'DCF_ADBE'!$B$9)/(1+'DCF_ADBE'!$B$10)^1+('DCF_ADBE'!$B$3*(1+D44)^2*('DCF_ADBE'!$B$5*(1-'DCF_ADBE'!$B$6)+'DCF_ADBE'!$B$7-'DCF_ADBE'!$B$8)-'DCF_ADBE'!$B$3*(1+D44)^1*D44*'DCF_ADBE'!$B$9)/(1+'DCF_ADBE'!$B$10)^2+('DCF_ADBE'!$B$3*(1+D44)^3*('DCF_ADBE'!$B$5*(1-'DCF_ADBE'!$B$6)+'DCF_ADBE'!$B$7-'DCF_ADBE'!$B$8)-'DCF_ADBE'!$B$3*(1+D44)^2*D44*'DCF_ADBE'!$B$9)/(1+'DCF_ADBE'!$B$10)^3+('DCF_ADBE'!$B$3*(1+D44)^4*('DCF_ADBE'!$B$5*(1-'DCF_ADBE'!$B$6)+'DCF_ADBE'!$B$7-'DCF_ADBE'!$B$8)-'DCF_ADBE'!$B$3*(1+D44)^3*D44*'DCF_ADBE'!$B$9)/(1+'DCF_ADBE'!$B$10)^4+('DCF_ADBE'!$B$3*(1+D44)^5*('DCF_ADBE'!$B$5*(1-'DCF_ADBE'!$B$6)+'DCF_ADBE'!$B$7-'DCF_ADBE'!$B$8)-'DCF_ADBE'!$B$3*(1+D44)^4*D44*'DCF_ADBE'!$B$9)/(1+'DCF_ADBE'!$B$10)^5+('DCF_ADBE'!$B$3*(1+D44)^5*(1+'DCF_ADBE'!$B$11)*('DCF_ADBE'!$B$5*(1-'DCF_ADBE'!$B$6)+'DCF_ADBE'!$B$7-'DCF_ADBE'!$B$8)-'DCF_ADBE'!$B$3*(1+D44)^5*'DCF_ADBE'!$B$11*'DCF_ADBE'!$B$9)/('DCF_ADBE'!$B$10-'DCF_ADBE'!$B$11)/(1+'DCF_ADBE'!$B$10)^5-'DCF_ADBE'!$B$13)/'DCF_ADBE'!$B$12))</f>
        <v/>
      </c>
    </row>
    <row r="45" spans="1:5" x14ac:dyDescent="0.25">
      <c r="A45" s="4">
        <v>37</v>
      </c>
      <c r="B45" s="4" t="str">
        <f>IF($B$3="","",IF(E44&lt;$B$3,D44,B44))</f>
        <v/>
      </c>
      <c r="C45" s="4" t="str">
        <f>IF($B$3="","",IF(E44&lt;$B$3,C44,D44))</f>
        <v/>
      </c>
      <c r="D45" s="4" t="str">
        <f>IF($B$3="","",(B45+C45)/2)</f>
        <v/>
      </c>
      <c r="E45" s="4" t="str">
        <f>IF($B$3="","",((('DCF_ADBE'!$B$3*(1+D45)^1*('DCF_ADBE'!$B$5*(1-'DCF_ADBE'!$B$6)+'DCF_ADBE'!$B$7-'DCF_ADBE'!$B$8)-'DCF_ADBE'!$B$3*(1+D45)^0*D45*'DCF_ADBE'!$B$9)/(1+'DCF_ADBE'!$B$10)^1+('DCF_ADBE'!$B$3*(1+D45)^2*('DCF_ADBE'!$B$5*(1-'DCF_ADBE'!$B$6)+'DCF_ADBE'!$B$7-'DCF_ADBE'!$B$8)-'DCF_ADBE'!$B$3*(1+D45)^1*D45*'DCF_ADBE'!$B$9)/(1+'DCF_ADBE'!$B$10)^2+('DCF_ADBE'!$B$3*(1+D45)^3*('DCF_ADBE'!$B$5*(1-'DCF_ADBE'!$B$6)+'DCF_ADBE'!$B$7-'DCF_ADBE'!$B$8)-'DCF_ADBE'!$B$3*(1+D45)^2*D45*'DCF_ADBE'!$B$9)/(1+'DCF_ADBE'!$B$10)^3+('DCF_ADBE'!$B$3*(1+D45)^4*('DCF_ADBE'!$B$5*(1-'DCF_ADBE'!$B$6)+'DCF_ADBE'!$B$7-'DCF_ADBE'!$B$8)-'DCF_ADBE'!$B$3*(1+D45)^3*D45*'DCF_ADBE'!$B$9)/(1+'DCF_ADBE'!$B$10)^4+('DCF_ADBE'!$B$3*(1+D45)^5*('DCF_ADBE'!$B$5*(1-'DCF_ADBE'!$B$6)+'DCF_ADBE'!$B$7-'DCF_ADBE'!$B$8)-'DCF_ADBE'!$B$3*(1+D45)^4*D45*'DCF_ADBE'!$B$9)/(1+'DCF_ADBE'!$B$10)^5+('DCF_ADBE'!$B$3*(1+D45)^5*(1+'DCF_ADBE'!$B$11)*('DCF_ADBE'!$B$5*(1-'DCF_ADBE'!$B$6)+'DCF_ADBE'!$B$7-'DCF_ADBE'!$B$8)-'DCF_ADBE'!$B$3*(1+D45)^5*'DCF_ADBE'!$B$11*'DCF_ADBE'!$B$9)/('DCF_ADBE'!$B$10-'DCF_ADBE'!$B$11)/(1+'DCF_ADBE'!$B$10)^5-'DCF_ADBE'!$B$13)/'DCF_ADBE'!$B$12))</f>
        <v/>
      </c>
    </row>
    <row r="46" spans="1:5" x14ac:dyDescent="0.25">
      <c r="A46" s="4">
        <v>38</v>
      </c>
      <c r="B46" s="4" t="str">
        <f>IF($B$3="","",IF(E45&lt;$B$3,D45,B45))</f>
        <v/>
      </c>
      <c r="C46" s="4" t="str">
        <f>IF($B$3="","",IF(E45&lt;$B$3,C45,D45))</f>
        <v/>
      </c>
      <c r="D46" s="4" t="str">
        <f>IF($B$3="","",(B46+C46)/2)</f>
        <v/>
      </c>
      <c r="E46" s="4" t="str">
        <f>IF($B$3="","",((('DCF_ADBE'!$B$3*(1+D46)^1*('DCF_ADBE'!$B$5*(1-'DCF_ADBE'!$B$6)+'DCF_ADBE'!$B$7-'DCF_ADBE'!$B$8)-'DCF_ADBE'!$B$3*(1+D46)^0*D46*'DCF_ADBE'!$B$9)/(1+'DCF_ADBE'!$B$10)^1+('DCF_ADBE'!$B$3*(1+D46)^2*('DCF_ADBE'!$B$5*(1-'DCF_ADBE'!$B$6)+'DCF_ADBE'!$B$7-'DCF_ADBE'!$B$8)-'DCF_ADBE'!$B$3*(1+D46)^1*D46*'DCF_ADBE'!$B$9)/(1+'DCF_ADBE'!$B$10)^2+('DCF_ADBE'!$B$3*(1+D46)^3*('DCF_ADBE'!$B$5*(1-'DCF_ADBE'!$B$6)+'DCF_ADBE'!$B$7-'DCF_ADBE'!$B$8)-'DCF_ADBE'!$B$3*(1+D46)^2*D46*'DCF_ADBE'!$B$9)/(1+'DCF_ADBE'!$B$10)^3+('DCF_ADBE'!$B$3*(1+D46)^4*('DCF_ADBE'!$B$5*(1-'DCF_ADBE'!$B$6)+'DCF_ADBE'!$B$7-'DCF_ADBE'!$B$8)-'DCF_ADBE'!$B$3*(1+D46)^3*D46*'DCF_ADBE'!$B$9)/(1+'DCF_ADBE'!$B$10)^4+('DCF_ADBE'!$B$3*(1+D46)^5*('DCF_ADBE'!$B$5*(1-'DCF_ADBE'!$B$6)+'DCF_ADBE'!$B$7-'DCF_ADBE'!$B$8)-'DCF_ADBE'!$B$3*(1+D46)^4*D46*'DCF_ADBE'!$B$9)/(1+'DCF_ADBE'!$B$10)^5+('DCF_ADBE'!$B$3*(1+D46)^5*(1+'DCF_ADBE'!$B$11)*('DCF_ADBE'!$B$5*(1-'DCF_ADBE'!$B$6)+'DCF_ADBE'!$B$7-'DCF_ADBE'!$B$8)-'DCF_ADBE'!$B$3*(1+D46)^5*'DCF_ADBE'!$B$11*'DCF_ADBE'!$B$9)/('DCF_ADBE'!$B$10-'DCF_ADBE'!$B$11)/(1+'DCF_ADBE'!$B$10)^5-'DCF_ADBE'!$B$13)/'DCF_ADBE'!$B$12))</f>
        <v/>
      </c>
    </row>
    <row r="47" spans="1:5" x14ac:dyDescent="0.25">
      <c r="A47" s="4">
        <v>39</v>
      </c>
      <c r="B47" s="4" t="str">
        <f>IF($B$3="","",IF(E46&lt;$B$3,D46,B46))</f>
        <v/>
      </c>
      <c r="C47" s="4" t="str">
        <f>IF($B$3="","",IF(E46&lt;$B$3,C46,D46))</f>
        <v/>
      </c>
      <c r="D47" s="4" t="str">
        <f>IF($B$3="","",(B47+C47)/2)</f>
        <v/>
      </c>
      <c r="E47" s="4" t="str">
        <f>IF($B$3="","",((('DCF_ADBE'!$B$3*(1+D47)^1*('DCF_ADBE'!$B$5*(1-'DCF_ADBE'!$B$6)+'DCF_ADBE'!$B$7-'DCF_ADBE'!$B$8)-'DCF_ADBE'!$B$3*(1+D47)^0*D47*'DCF_ADBE'!$B$9)/(1+'DCF_ADBE'!$B$10)^1+('DCF_ADBE'!$B$3*(1+D47)^2*('DCF_ADBE'!$B$5*(1-'DCF_ADBE'!$B$6)+'DCF_ADBE'!$B$7-'DCF_ADBE'!$B$8)-'DCF_ADBE'!$B$3*(1+D47)^1*D47*'DCF_ADBE'!$B$9)/(1+'DCF_ADBE'!$B$10)^2+('DCF_ADBE'!$B$3*(1+D47)^3*('DCF_ADBE'!$B$5*(1-'DCF_ADBE'!$B$6)+'DCF_ADBE'!$B$7-'DCF_ADBE'!$B$8)-'DCF_ADBE'!$B$3*(1+D47)^2*D47*'DCF_ADBE'!$B$9)/(1+'DCF_ADBE'!$B$10)^3+('DCF_ADBE'!$B$3*(1+D47)^4*('DCF_ADBE'!$B$5*(1-'DCF_ADBE'!$B$6)+'DCF_ADBE'!$B$7-'DCF_ADBE'!$B$8)-'DCF_ADBE'!$B$3*(1+D47)^3*D47*'DCF_ADBE'!$B$9)/(1+'DCF_ADBE'!$B$10)^4+('DCF_ADBE'!$B$3*(1+D47)^5*('DCF_ADBE'!$B$5*(1-'DCF_ADBE'!$B$6)+'DCF_ADBE'!$B$7-'DCF_ADBE'!$B$8)-'DCF_ADBE'!$B$3*(1+D47)^4*D47*'DCF_ADBE'!$B$9)/(1+'DCF_ADBE'!$B$10)^5+('DCF_ADBE'!$B$3*(1+D47)^5*(1+'DCF_ADBE'!$B$11)*('DCF_ADBE'!$B$5*(1-'DCF_ADBE'!$B$6)+'DCF_ADBE'!$B$7-'DCF_ADBE'!$B$8)-'DCF_ADBE'!$B$3*(1+D47)^5*'DCF_ADBE'!$B$11*'DCF_ADBE'!$B$9)/('DCF_ADBE'!$B$10-'DCF_ADBE'!$B$11)/(1+'DCF_ADBE'!$B$10)^5-'DCF_ADBE'!$B$13)/'DCF_ADBE'!$B$12))</f>
        <v/>
      </c>
    </row>
    <row r="48" spans="1:5" x14ac:dyDescent="0.25">
      <c r="A48" s="4">
        <v>40</v>
      </c>
      <c r="B48" s="4" t="str">
        <f>IF($B$3="","",IF(E47&lt;$B$3,D47,B47))</f>
        <v/>
      </c>
      <c r="C48" s="4" t="str">
        <f>IF($B$3="","",IF(E47&lt;$B$3,C47,D47))</f>
        <v/>
      </c>
      <c r="D48" s="4" t="str">
        <f>IF($B$3="","",(B48+C48)/2)</f>
        <v/>
      </c>
      <c r="E48" s="4" t="str">
        <f>IF($B$3="","",((('DCF_ADBE'!$B$3*(1+D48)^1*('DCF_ADBE'!$B$5*(1-'DCF_ADBE'!$B$6)+'DCF_ADBE'!$B$7-'DCF_ADBE'!$B$8)-'DCF_ADBE'!$B$3*(1+D48)^0*D48*'DCF_ADBE'!$B$9)/(1+'DCF_ADBE'!$B$10)^1+('DCF_ADBE'!$B$3*(1+D48)^2*('DCF_ADBE'!$B$5*(1-'DCF_ADBE'!$B$6)+'DCF_ADBE'!$B$7-'DCF_ADBE'!$B$8)-'DCF_ADBE'!$B$3*(1+D48)^1*D48*'DCF_ADBE'!$B$9)/(1+'DCF_ADBE'!$B$10)^2+('DCF_ADBE'!$B$3*(1+D48)^3*('DCF_ADBE'!$B$5*(1-'DCF_ADBE'!$B$6)+'DCF_ADBE'!$B$7-'DCF_ADBE'!$B$8)-'DCF_ADBE'!$B$3*(1+D48)^2*D48*'DCF_ADBE'!$B$9)/(1+'DCF_ADBE'!$B$10)^3+('DCF_ADBE'!$B$3*(1+D48)^4*('DCF_ADBE'!$B$5*(1-'DCF_ADBE'!$B$6)+'DCF_ADBE'!$B$7-'DCF_ADBE'!$B$8)-'DCF_ADBE'!$B$3*(1+D48)^3*D48*'DCF_ADBE'!$B$9)/(1+'DCF_ADBE'!$B$10)^4+('DCF_ADBE'!$B$3*(1+D48)^5*('DCF_ADBE'!$B$5*(1-'DCF_ADBE'!$B$6)+'DCF_ADBE'!$B$7-'DCF_ADBE'!$B$8)-'DCF_ADBE'!$B$3*(1+D48)^4*D48*'DCF_ADBE'!$B$9)/(1+'DCF_ADBE'!$B$10)^5+('DCF_ADBE'!$B$3*(1+D48)^5*(1+'DCF_ADBE'!$B$11)*('DCF_ADBE'!$B$5*(1-'DCF_ADBE'!$B$6)+'DCF_ADBE'!$B$7-'DCF_ADBE'!$B$8)-'DCF_ADBE'!$B$3*(1+D48)^5*'DCF_ADBE'!$B$11*'DCF_ADBE'!$B$9)/('DCF_ADBE'!$B$10-'DCF_ADBE'!$B$11)/(1+'DCF_ADBE'!$B$10)^5-'DCF_ADBE'!$B$13)/'DCF_ADBE'!$B$12))</f>
        <v/>
      </c>
    </row>
    <row r="49" spans="1:5" x14ac:dyDescent="0.25">
      <c r="A49" s="4">
        <v>41</v>
      </c>
      <c r="B49" s="4" t="str">
        <f>IF($B$3="","",IF(E48&lt;$B$3,D48,B48))</f>
        <v/>
      </c>
      <c r="C49" s="4" t="str">
        <f>IF($B$3="","",IF(E48&lt;$B$3,C48,D48))</f>
        <v/>
      </c>
      <c r="D49" s="4" t="str">
        <f>IF($B$3="","",(B49+C49)/2)</f>
        <v/>
      </c>
      <c r="E49" s="4" t="str">
        <f>IF($B$3="","",((('DCF_ADBE'!$B$3*(1+D49)^1*('DCF_ADBE'!$B$5*(1-'DCF_ADBE'!$B$6)+'DCF_ADBE'!$B$7-'DCF_ADBE'!$B$8)-'DCF_ADBE'!$B$3*(1+D49)^0*D49*'DCF_ADBE'!$B$9)/(1+'DCF_ADBE'!$B$10)^1+('DCF_ADBE'!$B$3*(1+D49)^2*('DCF_ADBE'!$B$5*(1-'DCF_ADBE'!$B$6)+'DCF_ADBE'!$B$7-'DCF_ADBE'!$B$8)-'DCF_ADBE'!$B$3*(1+D49)^1*D49*'DCF_ADBE'!$B$9)/(1+'DCF_ADBE'!$B$10)^2+('DCF_ADBE'!$B$3*(1+D49)^3*('DCF_ADBE'!$B$5*(1-'DCF_ADBE'!$B$6)+'DCF_ADBE'!$B$7-'DCF_ADBE'!$B$8)-'DCF_ADBE'!$B$3*(1+D49)^2*D49*'DCF_ADBE'!$B$9)/(1+'DCF_ADBE'!$B$10)^3+('DCF_ADBE'!$B$3*(1+D49)^4*('DCF_ADBE'!$B$5*(1-'DCF_ADBE'!$B$6)+'DCF_ADBE'!$B$7-'DCF_ADBE'!$B$8)-'DCF_ADBE'!$B$3*(1+D49)^3*D49*'DCF_ADBE'!$B$9)/(1+'DCF_ADBE'!$B$10)^4+('DCF_ADBE'!$B$3*(1+D49)^5*('DCF_ADBE'!$B$5*(1-'DCF_ADBE'!$B$6)+'DCF_ADBE'!$B$7-'DCF_ADBE'!$B$8)-'DCF_ADBE'!$B$3*(1+D49)^4*D49*'DCF_ADBE'!$B$9)/(1+'DCF_ADBE'!$B$10)^5+('DCF_ADBE'!$B$3*(1+D49)^5*(1+'DCF_ADBE'!$B$11)*('DCF_ADBE'!$B$5*(1-'DCF_ADBE'!$B$6)+'DCF_ADBE'!$B$7-'DCF_ADBE'!$B$8)-'DCF_ADBE'!$B$3*(1+D49)^5*'DCF_ADBE'!$B$11*'DCF_ADBE'!$B$9)/('DCF_ADBE'!$B$10-'DCF_ADBE'!$B$11)/(1+'DCF_ADBE'!$B$10)^5-'DCF_ADBE'!$B$13)/'DCF_ADBE'!$B$12))</f>
        <v/>
      </c>
    </row>
    <row r="50" spans="1:5" x14ac:dyDescent="0.25">
      <c r="A50" s="4">
        <v>42</v>
      </c>
      <c r="B50" s="4" t="str">
        <f>IF($B$3="","",IF(E49&lt;$B$3,D49,B49))</f>
        <v/>
      </c>
      <c r="C50" s="4" t="str">
        <f>IF($B$3="","",IF(E49&lt;$B$3,C49,D49))</f>
        <v/>
      </c>
      <c r="D50" s="4" t="str">
        <f>IF($B$3="","",(B50+C50)/2)</f>
        <v/>
      </c>
      <c r="E50" s="4" t="str">
        <f>IF($B$3="","",((('DCF_ADBE'!$B$3*(1+D50)^1*('DCF_ADBE'!$B$5*(1-'DCF_ADBE'!$B$6)+'DCF_ADBE'!$B$7-'DCF_ADBE'!$B$8)-'DCF_ADBE'!$B$3*(1+D50)^0*D50*'DCF_ADBE'!$B$9)/(1+'DCF_ADBE'!$B$10)^1+('DCF_ADBE'!$B$3*(1+D50)^2*('DCF_ADBE'!$B$5*(1-'DCF_ADBE'!$B$6)+'DCF_ADBE'!$B$7-'DCF_ADBE'!$B$8)-'DCF_ADBE'!$B$3*(1+D50)^1*D50*'DCF_ADBE'!$B$9)/(1+'DCF_ADBE'!$B$10)^2+('DCF_ADBE'!$B$3*(1+D50)^3*('DCF_ADBE'!$B$5*(1-'DCF_ADBE'!$B$6)+'DCF_ADBE'!$B$7-'DCF_ADBE'!$B$8)-'DCF_ADBE'!$B$3*(1+D50)^2*D50*'DCF_ADBE'!$B$9)/(1+'DCF_ADBE'!$B$10)^3+('DCF_ADBE'!$B$3*(1+D50)^4*('DCF_ADBE'!$B$5*(1-'DCF_ADBE'!$B$6)+'DCF_ADBE'!$B$7-'DCF_ADBE'!$B$8)-'DCF_ADBE'!$B$3*(1+D50)^3*D50*'DCF_ADBE'!$B$9)/(1+'DCF_ADBE'!$B$10)^4+('DCF_ADBE'!$B$3*(1+D50)^5*('DCF_ADBE'!$B$5*(1-'DCF_ADBE'!$B$6)+'DCF_ADBE'!$B$7-'DCF_ADBE'!$B$8)-'DCF_ADBE'!$B$3*(1+D50)^4*D50*'DCF_ADBE'!$B$9)/(1+'DCF_ADBE'!$B$10)^5+('DCF_ADBE'!$B$3*(1+D50)^5*(1+'DCF_ADBE'!$B$11)*('DCF_ADBE'!$B$5*(1-'DCF_ADBE'!$B$6)+'DCF_ADBE'!$B$7-'DCF_ADBE'!$B$8)-'DCF_ADBE'!$B$3*(1+D50)^5*'DCF_ADBE'!$B$11*'DCF_ADBE'!$B$9)/('DCF_ADBE'!$B$10-'DCF_ADBE'!$B$11)/(1+'DCF_ADBE'!$B$10)^5-'DCF_ADBE'!$B$13)/'DCF_ADBE'!$B$12))</f>
        <v/>
      </c>
    </row>
    <row r="51" spans="1:5" x14ac:dyDescent="0.25">
      <c r="A51" s="4">
        <v>43</v>
      </c>
      <c r="B51" s="4" t="str">
        <f>IF($B$3="","",IF(E50&lt;$B$3,D50,B50))</f>
        <v/>
      </c>
      <c r="C51" s="4" t="str">
        <f>IF($B$3="","",IF(E50&lt;$B$3,C50,D50))</f>
        <v/>
      </c>
      <c r="D51" s="4" t="str">
        <f>IF($B$3="","",(B51+C51)/2)</f>
        <v/>
      </c>
      <c r="E51" s="4" t="str">
        <f>IF($B$3="","",((('DCF_ADBE'!$B$3*(1+D51)^1*('DCF_ADBE'!$B$5*(1-'DCF_ADBE'!$B$6)+'DCF_ADBE'!$B$7-'DCF_ADBE'!$B$8)-'DCF_ADBE'!$B$3*(1+D51)^0*D51*'DCF_ADBE'!$B$9)/(1+'DCF_ADBE'!$B$10)^1+('DCF_ADBE'!$B$3*(1+D51)^2*('DCF_ADBE'!$B$5*(1-'DCF_ADBE'!$B$6)+'DCF_ADBE'!$B$7-'DCF_ADBE'!$B$8)-'DCF_ADBE'!$B$3*(1+D51)^1*D51*'DCF_ADBE'!$B$9)/(1+'DCF_ADBE'!$B$10)^2+('DCF_ADBE'!$B$3*(1+D51)^3*('DCF_ADBE'!$B$5*(1-'DCF_ADBE'!$B$6)+'DCF_ADBE'!$B$7-'DCF_ADBE'!$B$8)-'DCF_ADBE'!$B$3*(1+D51)^2*D51*'DCF_ADBE'!$B$9)/(1+'DCF_ADBE'!$B$10)^3+('DCF_ADBE'!$B$3*(1+D51)^4*('DCF_ADBE'!$B$5*(1-'DCF_ADBE'!$B$6)+'DCF_ADBE'!$B$7-'DCF_ADBE'!$B$8)-'DCF_ADBE'!$B$3*(1+D51)^3*D51*'DCF_ADBE'!$B$9)/(1+'DCF_ADBE'!$B$10)^4+('DCF_ADBE'!$B$3*(1+D51)^5*('DCF_ADBE'!$B$5*(1-'DCF_ADBE'!$B$6)+'DCF_ADBE'!$B$7-'DCF_ADBE'!$B$8)-'DCF_ADBE'!$B$3*(1+D51)^4*D51*'DCF_ADBE'!$B$9)/(1+'DCF_ADBE'!$B$10)^5+('DCF_ADBE'!$B$3*(1+D51)^5*(1+'DCF_ADBE'!$B$11)*('DCF_ADBE'!$B$5*(1-'DCF_ADBE'!$B$6)+'DCF_ADBE'!$B$7-'DCF_ADBE'!$B$8)-'DCF_ADBE'!$B$3*(1+D51)^5*'DCF_ADBE'!$B$11*'DCF_ADBE'!$B$9)/('DCF_ADBE'!$B$10-'DCF_ADBE'!$B$11)/(1+'DCF_ADBE'!$B$10)^5-'DCF_ADBE'!$B$13)/'DCF_ADBE'!$B$12))</f>
        <v/>
      </c>
    </row>
    <row r="52" spans="1:5" x14ac:dyDescent="0.25">
      <c r="A52" s="4">
        <v>44</v>
      </c>
      <c r="B52" s="4" t="str">
        <f>IF($B$3="","",IF(E51&lt;$B$3,D51,B51))</f>
        <v/>
      </c>
      <c r="C52" s="4" t="str">
        <f>IF($B$3="","",IF(E51&lt;$B$3,C51,D51))</f>
        <v/>
      </c>
      <c r="D52" s="4" t="str">
        <f>IF($B$3="","",(B52+C52)/2)</f>
        <v/>
      </c>
      <c r="E52" s="4" t="str">
        <f>IF($B$3="","",((('DCF_ADBE'!$B$3*(1+D52)^1*('DCF_ADBE'!$B$5*(1-'DCF_ADBE'!$B$6)+'DCF_ADBE'!$B$7-'DCF_ADBE'!$B$8)-'DCF_ADBE'!$B$3*(1+D52)^0*D52*'DCF_ADBE'!$B$9)/(1+'DCF_ADBE'!$B$10)^1+('DCF_ADBE'!$B$3*(1+D52)^2*('DCF_ADBE'!$B$5*(1-'DCF_ADBE'!$B$6)+'DCF_ADBE'!$B$7-'DCF_ADBE'!$B$8)-'DCF_ADBE'!$B$3*(1+D52)^1*D52*'DCF_ADBE'!$B$9)/(1+'DCF_ADBE'!$B$10)^2+('DCF_ADBE'!$B$3*(1+D52)^3*('DCF_ADBE'!$B$5*(1-'DCF_ADBE'!$B$6)+'DCF_ADBE'!$B$7-'DCF_ADBE'!$B$8)-'DCF_ADBE'!$B$3*(1+D52)^2*D52*'DCF_ADBE'!$B$9)/(1+'DCF_ADBE'!$B$10)^3+('DCF_ADBE'!$B$3*(1+D52)^4*('DCF_ADBE'!$B$5*(1-'DCF_ADBE'!$B$6)+'DCF_ADBE'!$B$7-'DCF_ADBE'!$B$8)-'DCF_ADBE'!$B$3*(1+D52)^3*D52*'DCF_ADBE'!$B$9)/(1+'DCF_ADBE'!$B$10)^4+('DCF_ADBE'!$B$3*(1+D52)^5*('DCF_ADBE'!$B$5*(1-'DCF_ADBE'!$B$6)+'DCF_ADBE'!$B$7-'DCF_ADBE'!$B$8)-'DCF_ADBE'!$B$3*(1+D52)^4*D52*'DCF_ADBE'!$B$9)/(1+'DCF_ADBE'!$B$10)^5+('DCF_ADBE'!$B$3*(1+D52)^5*(1+'DCF_ADBE'!$B$11)*('DCF_ADBE'!$B$5*(1-'DCF_ADBE'!$B$6)+'DCF_ADBE'!$B$7-'DCF_ADBE'!$B$8)-'DCF_ADBE'!$B$3*(1+D52)^5*'DCF_ADBE'!$B$11*'DCF_ADBE'!$B$9)/('DCF_ADBE'!$B$10-'DCF_ADBE'!$B$11)/(1+'DCF_ADBE'!$B$10)^5-'DCF_ADBE'!$B$13)/'DCF_ADBE'!$B$12))</f>
        <v/>
      </c>
    </row>
    <row r="53" spans="1:5" x14ac:dyDescent="0.25">
      <c r="A53" s="4">
        <v>45</v>
      </c>
      <c r="B53" s="4" t="str">
        <f>IF($B$3="","",IF(E52&lt;$B$3,D52,B52))</f>
        <v/>
      </c>
      <c r="C53" s="4" t="str">
        <f>IF($B$3="","",IF(E52&lt;$B$3,C52,D52))</f>
        <v/>
      </c>
      <c r="D53" s="4" t="str">
        <f>IF($B$3="","",(B53+C53)/2)</f>
        <v/>
      </c>
      <c r="E53" s="4" t="str">
        <f>IF($B$3="","",((('DCF_ADBE'!$B$3*(1+D53)^1*('DCF_ADBE'!$B$5*(1-'DCF_ADBE'!$B$6)+'DCF_ADBE'!$B$7-'DCF_ADBE'!$B$8)-'DCF_ADBE'!$B$3*(1+D53)^0*D53*'DCF_ADBE'!$B$9)/(1+'DCF_ADBE'!$B$10)^1+('DCF_ADBE'!$B$3*(1+D53)^2*('DCF_ADBE'!$B$5*(1-'DCF_ADBE'!$B$6)+'DCF_ADBE'!$B$7-'DCF_ADBE'!$B$8)-'DCF_ADBE'!$B$3*(1+D53)^1*D53*'DCF_ADBE'!$B$9)/(1+'DCF_ADBE'!$B$10)^2+('DCF_ADBE'!$B$3*(1+D53)^3*('DCF_ADBE'!$B$5*(1-'DCF_ADBE'!$B$6)+'DCF_ADBE'!$B$7-'DCF_ADBE'!$B$8)-'DCF_ADBE'!$B$3*(1+D53)^2*D53*'DCF_ADBE'!$B$9)/(1+'DCF_ADBE'!$B$10)^3+('DCF_ADBE'!$B$3*(1+D53)^4*('DCF_ADBE'!$B$5*(1-'DCF_ADBE'!$B$6)+'DCF_ADBE'!$B$7-'DCF_ADBE'!$B$8)-'DCF_ADBE'!$B$3*(1+D53)^3*D53*'DCF_ADBE'!$B$9)/(1+'DCF_ADBE'!$B$10)^4+('DCF_ADBE'!$B$3*(1+D53)^5*('DCF_ADBE'!$B$5*(1-'DCF_ADBE'!$B$6)+'DCF_ADBE'!$B$7-'DCF_ADBE'!$B$8)-'DCF_ADBE'!$B$3*(1+D53)^4*D53*'DCF_ADBE'!$B$9)/(1+'DCF_ADBE'!$B$10)^5+('DCF_ADBE'!$B$3*(1+D53)^5*(1+'DCF_ADBE'!$B$11)*('DCF_ADBE'!$B$5*(1-'DCF_ADBE'!$B$6)+'DCF_ADBE'!$B$7-'DCF_ADBE'!$B$8)-'DCF_ADBE'!$B$3*(1+D53)^5*'DCF_ADBE'!$B$11*'DCF_ADBE'!$B$9)/('DCF_ADBE'!$B$10-'DCF_ADBE'!$B$11)/(1+'DCF_ADBE'!$B$10)^5-'DCF_ADBE'!$B$13)/'DCF_ADBE'!$B$12))</f>
        <v/>
      </c>
    </row>
    <row r="54" spans="1:5" x14ac:dyDescent="0.25">
      <c r="A54" s="4">
        <v>46</v>
      </c>
      <c r="B54" s="4" t="str">
        <f>IF($B$3="","",IF(E53&lt;$B$3,D53,B53))</f>
        <v/>
      </c>
      <c r="C54" s="4" t="str">
        <f>IF($B$3="","",IF(E53&lt;$B$3,C53,D53))</f>
        <v/>
      </c>
      <c r="D54" s="4" t="str">
        <f>IF($B$3="","",(B54+C54)/2)</f>
        <v/>
      </c>
      <c r="E54" s="4" t="str">
        <f>IF($B$3="","",((('DCF_ADBE'!$B$3*(1+D54)^1*('DCF_ADBE'!$B$5*(1-'DCF_ADBE'!$B$6)+'DCF_ADBE'!$B$7-'DCF_ADBE'!$B$8)-'DCF_ADBE'!$B$3*(1+D54)^0*D54*'DCF_ADBE'!$B$9)/(1+'DCF_ADBE'!$B$10)^1+('DCF_ADBE'!$B$3*(1+D54)^2*('DCF_ADBE'!$B$5*(1-'DCF_ADBE'!$B$6)+'DCF_ADBE'!$B$7-'DCF_ADBE'!$B$8)-'DCF_ADBE'!$B$3*(1+D54)^1*D54*'DCF_ADBE'!$B$9)/(1+'DCF_ADBE'!$B$10)^2+('DCF_ADBE'!$B$3*(1+D54)^3*('DCF_ADBE'!$B$5*(1-'DCF_ADBE'!$B$6)+'DCF_ADBE'!$B$7-'DCF_ADBE'!$B$8)-'DCF_ADBE'!$B$3*(1+D54)^2*D54*'DCF_ADBE'!$B$9)/(1+'DCF_ADBE'!$B$10)^3+('DCF_ADBE'!$B$3*(1+D54)^4*('DCF_ADBE'!$B$5*(1-'DCF_ADBE'!$B$6)+'DCF_ADBE'!$B$7-'DCF_ADBE'!$B$8)-'DCF_ADBE'!$B$3*(1+D54)^3*D54*'DCF_ADBE'!$B$9)/(1+'DCF_ADBE'!$B$10)^4+('DCF_ADBE'!$B$3*(1+D54)^5*('DCF_ADBE'!$B$5*(1-'DCF_ADBE'!$B$6)+'DCF_ADBE'!$B$7-'DCF_ADBE'!$B$8)-'DCF_ADBE'!$B$3*(1+D54)^4*D54*'DCF_ADBE'!$B$9)/(1+'DCF_ADBE'!$B$10)^5+('DCF_ADBE'!$B$3*(1+D54)^5*(1+'DCF_ADBE'!$B$11)*('DCF_ADBE'!$B$5*(1-'DCF_ADBE'!$B$6)+'DCF_ADBE'!$B$7-'DCF_ADBE'!$B$8)-'DCF_ADBE'!$B$3*(1+D54)^5*'DCF_ADBE'!$B$11*'DCF_ADBE'!$B$9)/('DCF_ADBE'!$B$10-'DCF_ADBE'!$B$11)/(1+'DCF_ADBE'!$B$10)^5-'DCF_ADBE'!$B$13)/'DCF_ADBE'!$B$12))</f>
        <v/>
      </c>
    </row>
    <row r="55" spans="1:5" x14ac:dyDescent="0.25">
      <c r="A55" s="4">
        <v>47</v>
      </c>
      <c r="B55" s="4" t="str">
        <f>IF($B$3="","",IF(E54&lt;$B$3,D54,B54))</f>
        <v/>
      </c>
      <c r="C55" s="4" t="str">
        <f>IF($B$3="","",IF(E54&lt;$B$3,C54,D54))</f>
        <v/>
      </c>
      <c r="D55" s="4" t="str">
        <f>IF($B$3="","",(B55+C55)/2)</f>
        <v/>
      </c>
      <c r="E55" s="4" t="str">
        <f>IF($B$3="","",((('DCF_ADBE'!$B$3*(1+D55)^1*('DCF_ADBE'!$B$5*(1-'DCF_ADBE'!$B$6)+'DCF_ADBE'!$B$7-'DCF_ADBE'!$B$8)-'DCF_ADBE'!$B$3*(1+D55)^0*D55*'DCF_ADBE'!$B$9)/(1+'DCF_ADBE'!$B$10)^1+('DCF_ADBE'!$B$3*(1+D55)^2*('DCF_ADBE'!$B$5*(1-'DCF_ADBE'!$B$6)+'DCF_ADBE'!$B$7-'DCF_ADBE'!$B$8)-'DCF_ADBE'!$B$3*(1+D55)^1*D55*'DCF_ADBE'!$B$9)/(1+'DCF_ADBE'!$B$10)^2+('DCF_ADBE'!$B$3*(1+D55)^3*('DCF_ADBE'!$B$5*(1-'DCF_ADBE'!$B$6)+'DCF_ADBE'!$B$7-'DCF_ADBE'!$B$8)-'DCF_ADBE'!$B$3*(1+D55)^2*D55*'DCF_ADBE'!$B$9)/(1+'DCF_ADBE'!$B$10)^3+('DCF_ADBE'!$B$3*(1+D55)^4*('DCF_ADBE'!$B$5*(1-'DCF_ADBE'!$B$6)+'DCF_ADBE'!$B$7-'DCF_ADBE'!$B$8)-'DCF_ADBE'!$B$3*(1+D55)^3*D55*'DCF_ADBE'!$B$9)/(1+'DCF_ADBE'!$B$10)^4+('DCF_ADBE'!$B$3*(1+D55)^5*('DCF_ADBE'!$B$5*(1-'DCF_ADBE'!$B$6)+'DCF_ADBE'!$B$7-'DCF_ADBE'!$B$8)-'DCF_ADBE'!$B$3*(1+D55)^4*D55*'DCF_ADBE'!$B$9)/(1+'DCF_ADBE'!$B$10)^5+('DCF_ADBE'!$B$3*(1+D55)^5*(1+'DCF_ADBE'!$B$11)*('DCF_ADBE'!$B$5*(1-'DCF_ADBE'!$B$6)+'DCF_ADBE'!$B$7-'DCF_ADBE'!$B$8)-'DCF_ADBE'!$B$3*(1+D55)^5*'DCF_ADBE'!$B$11*'DCF_ADBE'!$B$9)/('DCF_ADBE'!$B$10-'DCF_ADBE'!$B$11)/(1+'DCF_ADBE'!$B$10)^5-'DCF_ADBE'!$B$13)/'DCF_ADBE'!$B$12))</f>
        <v/>
      </c>
    </row>
    <row r="56" spans="1:5" x14ac:dyDescent="0.25">
      <c r="A56" s="4">
        <v>48</v>
      </c>
      <c r="B56" s="4" t="str">
        <f>IF($B$3="","",IF(E55&lt;$B$3,D55,B55))</f>
        <v/>
      </c>
      <c r="C56" s="4" t="str">
        <f>IF($B$3="","",IF(E55&lt;$B$3,C55,D55))</f>
        <v/>
      </c>
      <c r="D56" s="4" t="str">
        <f>IF($B$3="","",(B56+C56)/2)</f>
        <v/>
      </c>
      <c r="E56" s="4" t="str">
        <f>IF($B$3="","",((('DCF_ADBE'!$B$3*(1+D56)^1*('DCF_ADBE'!$B$5*(1-'DCF_ADBE'!$B$6)+'DCF_ADBE'!$B$7-'DCF_ADBE'!$B$8)-'DCF_ADBE'!$B$3*(1+D56)^0*D56*'DCF_ADBE'!$B$9)/(1+'DCF_ADBE'!$B$10)^1+('DCF_ADBE'!$B$3*(1+D56)^2*('DCF_ADBE'!$B$5*(1-'DCF_ADBE'!$B$6)+'DCF_ADBE'!$B$7-'DCF_ADBE'!$B$8)-'DCF_ADBE'!$B$3*(1+D56)^1*D56*'DCF_ADBE'!$B$9)/(1+'DCF_ADBE'!$B$10)^2+('DCF_ADBE'!$B$3*(1+D56)^3*('DCF_ADBE'!$B$5*(1-'DCF_ADBE'!$B$6)+'DCF_ADBE'!$B$7-'DCF_ADBE'!$B$8)-'DCF_ADBE'!$B$3*(1+D56)^2*D56*'DCF_ADBE'!$B$9)/(1+'DCF_ADBE'!$B$10)^3+('DCF_ADBE'!$B$3*(1+D56)^4*('DCF_ADBE'!$B$5*(1-'DCF_ADBE'!$B$6)+'DCF_ADBE'!$B$7-'DCF_ADBE'!$B$8)-'DCF_ADBE'!$B$3*(1+D56)^3*D56*'DCF_ADBE'!$B$9)/(1+'DCF_ADBE'!$B$10)^4+('DCF_ADBE'!$B$3*(1+D56)^5*('DCF_ADBE'!$B$5*(1-'DCF_ADBE'!$B$6)+'DCF_ADBE'!$B$7-'DCF_ADBE'!$B$8)-'DCF_ADBE'!$B$3*(1+D56)^4*D56*'DCF_ADBE'!$B$9)/(1+'DCF_ADBE'!$B$10)^5+('DCF_ADBE'!$B$3*(1+D56)^5*(1+'DCF_ADBE'!$B$11)*('DCF_ADBE'!$B$5*(1-'DCF_ADBE'!$B$6)+'DCF_ADBE'!$B$7-'DCF_ADBE'!$B$8)-'DCF_ADBE'!$B$3*(1+D56)^5*'DCF_ADBE'!$B$11*'DCF_ADBE'!$B$9)/('DCF_ADBE'!$B$10-'DCF_ADBE'!$B$11)/(1+'DCF_ADBE'!$B$10)^5-'DCF_ADBE'!$B$13)/'DCF_ADBE'!$B$12))</f>
        <v/>
      </c>
    </row>
    <row r="57" spans="1:5" x14ac:dyDescent="0.25">
      <c r="A57" s="4">
        <v>49</v>
      </c>
      <c r="B57" s="4" t="str">
        <f>IF($B$3="","",IF(E56&lt;$B$3,D56,B56))</f>
        <v/>
      </c>
      <c r="C57" s="4" t="str">
        <f>IF($B$3="","",IF(E56&lt;$B$3,C56,D56))</f>
        <v/>
      </c>
      <c r="D57" s="4" t="str">
        <f>IF($B$3="","",(B57+C57)/2)</f>
        <v/>
      </c>
      <c r="E57" s="4" t="str">
        <f>IF($B$3="","",((('DCF_ADBE'!$B$3*(1+D57)^1*('DCF_ADBE'!$B$5*(1-'DCF_ADBE'!$B$6)+'DCF_ADBE'!$B$7-'DCF_ADBE'!$B$8)-'DCF_ADBE'!$B$3*(1+D57)^0*D57*'DCF_ADBE'!$B$9)/(1+'DCF_ADBE'!$B$10)^1+('DCF_ADBE'!$B$3*(1+D57)^2*('DCF_ADBE'!$B$5*(1-'DCF_ADBE'!$B$6)+'DCF_ADBE'!$B$7-'DCF_ADBE'!$B$8)-'DCF_ADBE'!$B$3*(1+D57)^1*D57*'DCF_ADBE'!$B$9)/(1+'DCF_ADBE'!$B$10)^2+('DCF_ADBE'!$B$3*(1+D57)^3*('DCF_ADBE'!$B$5*(1-'DCF_ADBE'!$B$6)+'DCF_ADBE'!$B$7-'DCF_ADBE'!$B$8)-'DCF_ADBE'!$B$3*(1+D57)^2*D57*'DCF_ADBE'!$B$9)/(1+'DCF_ADBE'!$B$10)^3+('DCF_ADBE'!$B$3*(1+D57)^4*('DCF_ADBE'!$B$5*(1-'DCF_ADBE'!$B$6)+'DCF_ADBE'!$B$7-'DCF_ADBE'!$B$8)-'DCF_ADBE'!$B$3*(1+D57)^3*D57*'DCF_ADBE'!$B$9)/(1+'DCF_ADBE'!$B$10)^4+('DCF_ADBE'!$B$3*(1+D57)^5*('DCF_ADBE'!$B$5*(1-'DCF_ADBE'!$B$6)+'DCF_ADBE'!$B$7-'DCF_ADBE'!$B$8)-'DCF_ADBE'!$B$3*(1+D57)^4*D57*'DCF_ADBE'!$B$9)/(1+'DCF_ADBE'!$B$10)^5+('DCF_ADBE'!$B$3*(1+D57)^5*(1+'DCF_ADBE'!$B$11)*('DCF_ADBE'!$B$5*(1-'DCF_ADBE'!$B$6)+'DCF_ADBE'!$B$7-'DCF_ADBE'!$B$8)-'DCF_ADBE'!$B$3*(1+D57)^5*'DCF_ADBE'!$B$11*'DCF_ADBE'!$B$9)/('DCF_ADBE'!$B$10-'DCF_ADBE'!$B$11)/(1+'DCF_ADBE'!$B$10)^5-'DCF_ADBE'!$B$13)/'DCF_ADBE'!$B$12))</f>
        <v/>
      </c>
    </row>
    <row r="58" spans="1:5" x14ac:dyDescent="0.25">
      <c r="A58" s="4">
        <v>50</v>
      </c>
      <c r="B58" s="4" t="str">
        <f>IF($B$3="","",IF(E57&lt;$B$3,D57,B57))</f>
        <v/>
      </c>
      <c r="C58" s="4" t="str">
        <f>IF($B$3="","",IF(E57&lt;$B$3,C57,D57))</f>
        <v/>
      </c>
      <c r="D58" s="4" t="str">
        <f>IF($B$3="","",(B58+C58)/2)</f>
        <v/>
      </c>
      <c r="E58" s="4" t="str">
        <f>IF($B$3="","",((('DCF_ADBE'!$B$3*(1+D58)^1*('DCF_ADBE'!$B$5*(1-'DCF_ADBE'!$B$6)+'DCF_ADBE'!$B$7-'DCF_ADBE'!$B$8)-'DCF_ADBE'!$B$3*(1+D58)^0*D58*'DCF_ADBE'!$B$9)/(1+'DCF_ADBE'!$B$10)^1+('DCF_ADBE'!$B$3*(1+D58)^2*('DCF_ADBE'!$B$5*(1-'DCF_ADBE'!$B$6)+'DCF_ADBE'!$B$7-'DCF_ADBE'!$B$8)-'DCF_ADBE'!$B$3*(1+D58)^1*D58*'DCF_ADBE'!$B$9)/(1+'DCF_ADBE'!$B$10)^2+('DCF_ADBE'!$B$3*(1+D58)^3*('DCF_ADBE'!$B$5*(1-'DCF_ADBE'!$B$6)+'DCF_ADBE'!$B$7-'DCF_ADBE'!$B$8)-'DCF_ADBE'!$B$3*(1+D58)^2*D58*'DCF_ADBE'!$B$9)/(1+'DCF_ADBE'!$B$10)^3+('DCF_ADBE'!$B$3*(1+D58)^4*('DCF_ADBE'!$B$5*(1-'DCF_ADBE'!$B$6)+'DCF_ADBE'!$B$7-'DCF_ADBE'!$B$8)-'DCF_ADBE'!$B$3*(1+D58)^3*D58*'DCF_ADBE'!$B$9)/(1+'DCF_ADBE'!$B$10)^4+('DCF_ADBE'!$B$3*(1+D58)^5*('DCF_ADBE'!$B$5*(1-'DCF_ADBE'!$B$6)+'DCF_ADBE'!$B$7-'DCF_ADBE'!$B$8)-'DCF_ADBE'!$B$3*(1+D58)^4*D58*'DCF_ADBE'!$B$9)/(1+'DCF_ADBE'!$B$10)^5+('DCF_ADBE'!$B$3*(1+D58)^5*(1+'DCF_ADBE'!$B$11)*('DCF_ADBE'!$B$5*(1-'DCF_ADBE'!$B$6)+'DCF_ADBE'!$B$7-'DCF_ADBE'!$B$8)-'DCF_ADBE'!$B$3*(1+D58)^5*'DCF_ADBE'!$B$11*'DCF_ADBE'!$B$9)/('DCF_ADBE'!$B$10-'DCF_ADBE'!$B$11)/(1+'DCF_ADBE'!$B$10)^5-'DCF_ADBE'!$B$13)/'DCF_ADBE'!$B$12))</f>
        <v/>
      </c>
    </row>
    <row r="59" spans="1:5" x14ac:dyDescent="0.25">
      <c r="A59" s="4">
        <v>51</v>
      </c>
      <c r="B59" s="4" t="str">
        <f>IF($B$3="","",IF(E58&lt;$B$3,D58,B58))</f>
        <v/>
      </c>
      <c r="C59" s="4" t="str">
        <f>IF($B$3="","",IF(E58&lt;$B$3,C58,D58))</f>
        <v/>
      </c>
      <c r="D59" s="4" t="str">
        <f>IF($B$3="","",(B59+C59)/2)</f>
        <v/>
      </c>
      <c r="E59" s="4" t="str">
        <f>IF($B$3="","",((('DCF_ADBE'!$B$3*(1+D59)^1*('DCF_ADBE'!$B$5*(1-'DCF_ADBE'!$B$6)+'DCF_ADBE'!$B$7-'DCF_ADBE'!$B$8)-'DCF_ADBE'!$B$3*(1+D59)^0*D59*'DCF_ADBE'!$B$9)/(1+'DCF_ADBE'!$B$10)^1+('DCF_ADBE'!$B$3*(1+D59)^2*('DCF_ADBE'!$B$5*(1-'DCF_ADBE'!$B$6)+'DCF_ADBE'!$B$7-'DCF_ADBE'!$B$8)-'DCF_ADBE'!$B$3*(1+D59)^1*D59*'DCF_ADBE'!$B$9)/(1+'DCF_ADBE'!$B$10)^2+('DCF_ADBE'!$B$3*(1+D59)^3*('DCF_ADBE'!$B$5*(1-'DCF_ADBE'!$B$6)+'DCF_ADBE'!$B$7-'DCF_ADBE'!$B$8)-'DCF_ADBE'!$B$3*(1+D59)^2*D59*'DCF_ADBE'!$B$9)/(1+'DCF_ADBE'!$B$10)^3+('DCF_ADBE'!$B$3*(1+D59)^4*('DCF_ADBE'!$B$5*(1-'DCF_ADBE'!$B$6)+'DCF_ADBE'!$B$7-'DCF_ADBE'!$B$8)-'DCF_ADBE'!$B$3*(1+D59)^3*D59*'DCF_ADBE'!$B$9)/(1+'DCF_ADBE'!$B$10)^4+('DCF_ADBE'!$B$3*(1+D59)^5*('DCF_ADBE'!$B$5*(1-'DCF_ADBE'!$B$6)+'DCF_ADBE'!$B$7-'DCF_ADBE'!$B$8)-'DCF_ADBE'!$B$3*(1+D59)^4*D59*'DCF_ADBE'!$B$9)/(1+'DCF_ADBE'!$B$10)^5+('DCF_ADBE'!$B$3*(1+D59)^5*(1+'DCF_ADBE'!$B$11)*('DCF_ADBE'!$B$5*(1-'DCF_ADBE'!$B$6)+'DCF_ADBE'!$B$7-'DCF_ADBE'!$B$8)-'DCF_ADBE'!$B$3*(1+D59)^5*'DCF_ADBE'!$B$11*'DCF_ADBE'!$B$9)/('DCF_ADBE'!$B$10-'DCF_ADBE'!$B$11)/(1+'DCF_ADBE'!$B$10)^5-'DCF_ADBE'!$B$13)/'DCF_ADBE'!$B$12))</f>
        <v/>
      </c>
    </row>
    <row r="60" spans="1:5" x14ac:dyDescent="0.25">
      <c r="A60" s="4">
        <v>52</v>
      </c>
      <c r="B60" s="4" t="str">
        <f>IF($B$3="","",IF(E59&lt;$B$3,D59,B59))</f>
        <v/>
      </c>
      <c r="C60" s="4" t="str">
        <f>IF($B$3="","",IF(E59&lt;$B$3,C59,D59))</f>
        <v/>
      </c>
      <c r="D60" s="4" t="str">
        <f>IF($B$3="","",(B60+C60)/2)</f>
        <v/>
      </c>
      <c r="E60" s="4" t="str">
        <f>IF($B$3="","",((('DCF_ADBE'!$B$3*(1+D60)^1*('DCF_ADBE'!$B$5*(1-'DCF_ADBE'!$B$6)+'DCF_ADBE'!$B$7-'DCF_ADBE'!$B$8)-'DCF_ADBE'!$B$3*(1+D60)^0*D60*'DCF_ADBE'!$B$9)/(1+'DCF_ADBE'!$B$10)^1+('DCF_ADBE'!$B$3*(1+D60)^2*('DCF_ADBE'!$B$5*(1-'DCF_ADBE'!$B$6)+'DCF_ADBE'!$B$7-'DCF_ADBE'!$B$8)-'DCF_ADBE'!$B$3*(1+D60)^1*D60*'DCF_ADBE'!$B$9)/(1+'DCF_ADBE'!$B$10)^2+('DCF_ADBE'!$B$3*(1+D60)^3*('DCF_ADBE'!$B$5*(1-'DCF_ADBE'!$B$6)+'DCF_ADBE'!$B$7-'DCF_ADBE'!$B$8)-'DCF_ADBE'!$B$3*(1+D60)^2*D60*'DCF_ADBE'!$B$9)/(1+'DCF_ADBE'!$B$10)^3+('DCF_ADBE'!$B$3*(1+D60)^4*('DCF_ADBE'!$B$5*(1-'DCF_ADBE'!$B$6)+'DCF_ADBE'!$B$7-'DCF_ADBE'!$B$8)-'DCF_ADBE'!$B$3*(1+D60)^3*D60*'DCF_ADBE'!$B$9)/(1+'DCF_ADBE'!$B$10)^4+('DCF_ADBE'!$B$3*(1+D60)^5*('DCF_ADBE'!$B$5*(1-'DCF_ADBE'!$B$6)+'DCF_ADBE'!$B$7-'DCF_ADBE'!$B$8)-'DCF_ADBE'!$B$3*(1+D60)^4*D60*'DCF_ADBE'!$B$9)/(1+'DCF_ADBE'!$B$10)^5+('DCF_ADBE'!$B$3*(1+D60)^5*(1+'DCF_ADBE'!$B$11)*('DCF_ADBE'!$B$5*(1-'DCF_ADBE'!$B$6)+'DCF_ADBE'!$B$7-'DCF_ADBE'!$B$8)-'DCF_ADBE'!$B$3*(1+D60)^5*'DCF_ADBE'!$B$11*'DCF_ADBE'!$B$9)/('DCF_ADBE'!$B$10-'DCF_ADBE'!$B$11)/(1+'DCF_ADBE'!$B$10)^5-'DCF_ADBE'!$B$13)/'DCF_ADBE'!$B$12))</f>
        <v/>
      </c>
    </row>
    <row r="61" spans="1:5" x14ac:dyDescent="0.25">
      <c r="A61" s="4">
        <v>53</v>
      </c>
      <c r="B61" s="4" t="str">
        <f>IF($B$3="","",IF(E60&lt;$B$3,D60,B60))</f>
        <v/>
      </c>
      <c r="C61" s="4" t="str">
        <f>IF($B$3="","",IF(E60&lt;$B$3,C60,D60))</f>
        <v/>
      </c>
      <c r="D61" s="4" t="str">
        <f>IF($B$3="","",(B61+C61)/2)</f>
        <v/>
      </c>
      <c r="E61" s="4" t="str">
        <f>IF($B$3="","",((('DCF_ADBE'!$B$3*(1+D61)^1*('DCF_ADBE'!$B$5*(1-'DCF_ADBE'!$B$6)+'DCF_ADBE'!$B$7-'DCF_ADBE'!$B$8)-'DCF_ADBE'!$B$3*(1+D61)^0*D61*'DCF_ADBE'!$B$9)/(1+'DCF_ADBE'!$B$10)^1+('DCF_ADBE'!$B$3*(1+D61)^2*('DCF_ADBE'!$B$5*(1-'DCF_ADBE'!$B$6)+'DCF_ADBE'!$B$7-'DCF_ADBE'!$B$8)-'DCF_ADBE'!$B$3*(1+D61)^1*D61*'DCF_ADBE'!$B$9)/(1+'DCF_ADBE'!$B$10)^2+('DCF_ADBE'!$B$3*(1+D61)^3*('DCF_ADBE'!$B$5*(1-'DCF_ADBE'!$B$6)+'DCF_ADBE'!$B$7-'DCF_ADBE'!$B$8)-'DCF_ADBE'!$B$3*(1+D61)^2*D61*'DCF_ADBE'!$B$9)/(1+'DCF_ADBE'!$B$10)^3+('DCF_ADBE'!$B$3*(1+D61)^4*('DCF_ADBE'!$B$5*(1-'DCF_ADBE'!$B$6)+'DCF_ADBE'!$B$7-'DCF_ADBE'!$B$8)-'DCF_ADBE'!$B$3*(1+D61)^3*D61*'DCF_ADBE'!$B$9)/(1+'DCF_ADBE'!$B$10)^4+('DCF_ADBE'!$B$3*(1+D61)^5*('DCF_ADBE'!$B$5*(1-'DCF_ADBE'!$B$6)+'DCF_ADBE'!$B$7-'DCF_ADBE'!$B$8)-'DCF_ADBE'!$B$3*(1+D61)^4*D61*'DCF_ADBE'!$B$9)/(1+'DCF_ADBE'!$B$10)^5+('DCF_ADBE'!$B$3*(1+D61)^5*(1+'DCF_ADBE'!$B$11)*('DCF_ADBE'!$B$5*(1-'DCF_ADBE'!$B$6)+'DCF_ADBE'!$B$7-'DCF_ADBE'!$B$8)-'DCF_ADBE'!$B$3*(1+D61)^5*'DCF_ADBE'!$B$11*'DCF_ADBE'!$B$9)/('DCF_ADBE'!$B$10-'DCF_ADBE'!$B$11)/(1+'DCF_ADBE'!$B$10)^5-'DCF_ADBE'!$B$13)/'DCF_ADBE'!$B$12))</f>
        <v/>
      </c>
    </row>
    <row r="62" spans="1:5" x14ac:dyDescent="0.25">
      <c r="A62" s="4">
        <v>54</v>
      </c>
      <c r="B62" s="4" t="str">
        <f>IF($B$3="","",IF(E61&lt;$B$3,D61,B61))</f>
        <v/>
      </c>
      <c r="C62" s="4" t="str">
        <f>IF($B$3="","",IF(E61&lt;$B$3,C61,D61))</f>
        <v/>
      </c>
      <c r="D62" s="4" t="str">
        <f>IF($B$3="","",(B62+C62)/2)</f>
        <v/>
      </c>
      <c r="E62" s="4" t="str">
        <f>IF($B$3="","",((('DCF_ADBE'!$B$3*(1+D62)^1*('DCF_ADBE'!$B$5*(1-'DCF_ADBE'!$B$6)+'DCF_ADBE'!$B$7-'DCF_ADBE'!$B$8)-'DCF_ADBE'!$B$3*(1+D62)^0*D62*'DCF_ADBE'!$B$9)/(1+'DCF_ADBE'!$B$10)^1+('DCF_ADBE'!$B$3*(1+D62)^2*('DCF_ADBE'!$B$5*(1-'DCF_ADBE'!$B$6)+'DCF_ADBE'!$B$7-'DCF_ADBE'!$B$8)-'DCF_ADBE'!$B$3*(1+D62)^1*D62*'DCF_ADBE'!$B$9)/(1+'DCF_ADBE'!$B$10)^2+('DCF_ADBE'!$B$3*(1+D62)^3*('DCF_ADBE'!$B$5*(1-'DCF_ADBE'!$B$6)+'DCF_ADBE'!$B$7-'DCF_ADBE'!$B$8)-'DCF_ADBE'!$B$3*(1+D62)^2*D62*'DCF_ADBE'!$B$9)/(1+'DCF_ADBE'!$B$10)^3+('DCF_ADBE'!$B$3*(1+D62)^4*('DCF_ADBE'!$B$5*(1-'DCF_ADBE'!$B$6)+'DCF_ADBE'!$B$7-'DCF_ADBE'!$B$8)-'DCF_ADBE'!$B$3*(1+D62)^3*D62*'DCF_ADBE'!$B$9)/(1+'DCF_ADBE'!$B$10)^4+('DCF_ADBE'!$B$3*(1+D62)^5*('DCF_ADBE'!$B$5*(1-'DCF_ADBE'!$B$6)+'DCF_ADBE'!$B$7-'DCF_ADBE'!$B$8)-'DCF_ADBE'!$B$3*(1+D62)^4*D62*'DCF_ADBE'!$B$9)/(1+'DCF_ADBE'!$B$10)^5+('DCF_ADBE'!$B$3*(1+D62)^5*(1+'DCF_ADBE'!$B$11)*('DCF_ADBE'!$B$5*(1-'DCF_ADBE'!$B$6)+'DCF_ADBE'!$B$7-'DCF_ADBE'!$B$8)-'DCF_ADBE'!$B$3*(1+D62)^5*'DCF_ADBE'!$B$11*'DCF_ADBE'!$B$9)/('DCF_ADBE'!$B$10-'DCF_ADBE'!$B$11)/(1+'DCF_ADBE'!$B$10)^5-'DCF_ADBE'!$B$13)/'DCF_ADBE'!$B$12))</f>
        <v/>
      </c>
    </row>
    <row r="63" spans="1:5" x14ac:dyDescent="0.25">
      <c r="A63" s="4">
        <v>55</v>
      </c>
      <c r="B63" s="4" t="str">
        <f>IF($B$3="","",IF(E62&lt;$B$3,D62,B62))</f>
        <v/>
      </c>
      <c r="C63" s="4" t="str">
        <f>IF($B$3="","",IF(E62&lt;$B$3,C62,D62))</f>
        <v/>
      </c>
      <c r="D63" s="4" t="str">
        <f>IF($B$3="","",(B63+C63)/2)</f>
        <v/>
      </c>
      <c r="E63" s="4" t="str">
        <f>IF($B$3="","",((('DCF_ADBE'!$B$3*(1+D63)^1*('DCF_ADBE'!$B$5*(1-'DCF_ADBE'!$B$6)+'DCF_ADBE'!$B$7-'DCF_ADBE'!$B$8)-'DCF_ADBE'!$B$3*(1+D63)^0*D63*'DCF_ADBE'!$B$9)/(1+'DCF_ADBE'!$B$10)^1+('DCF_ADBE'!$B$3*(1+D63)^2*('DCF_ADBE'!$B$5*(1-'DCF_ADBE'!$B$6)+'DCF_ADBE'!$B$7-'DCF_ADBE'!$B$8)-'DCF_ADBE'!$B$3*(1+D63)^1*D63*'DCF_ADBE'!$B$9)/(1+'DCF_ADBE'!$B$10)^2+('DCF_ADBE'!$B$3*(1+D63)^3*('DCF_ADBE'!$B$5*(1-'DCF_ADBE'!$B$6)+'DCF_ADBE'!$B$7-'DCF_ADBE'!$B$8)-'DCF_ADBE'!$B$3*(1+D63)^2*D63*'DCF_ADBE'!$B$9)/(1+'DCF_ADBE'!$B$10)^3+('DCF_ADBE'!$B$3*(1+D63)^4*('DCF_ADBE'!$B$5*(1-'DCF_ADBE'!$B$6)+'DCF_ADBE'!$B$7-'DCF_ADBE'!$B$8)-'DCF_ADBE'!$B$3*(1+D63)^3*D63*'DCF_ADBE'!$B$9)/(1+'DCF_ADBE'!$B$10)^4+('DCF_ADBE'!$B$3*(1+D63)^5*('DCF_ADBE'!$B$5*(1-'DCF_ADBE'!$B$6)+'DCF_ADBE'!$B$7-'DCF_ADBE'!$B$8)-'DCF_ADBE'!$B$3*(1+D63)^4*D63*'DCF_ADBE'!$B$9)/(1+'DCF_ADBE'!$B$10)^5+('DCF_ADBE'!$B$3*(1+D63)^5*(1+'DCF_ADBE'!$B$11)*('DCF_ADBE'!$B$5*(1-'DCF_ADBE'!$B$6)+'DCF_ADBE'!$B$7-'DCF_ADBE'!$B$8)-'DCF_ADBE'!$B$3*(1+D63)^5*'DCF_ADBE'!$B$11*'DCF_ADBE'!$B$9)/('DCF_ADBE'!$B$10-'DCF_ADBE'!$B$11)/(1+'DCF_ADBE'!$B$10)^5-'DCF_ADBE'!$B$13)/'DCF_ADBE'!$B$12))</f>
        <v/>
      </c>
    </row>
    <row r="64" spans="1:5" x14ac:dyDescent="0.25">
      <c r="A64" s="4">
        <v>56</v>
      </c>
      <c r="B64" s="4" t="str">
        <f>IF($B$3="","",IF(E63&lt;$B$3,D63,B63))</f>
        <v/>
      </c>
      <c r="C64" s="4" t="str">
        <f>IF($B$3="","",IF(E63&lt;$B$3,C63,D63))</f>
        <v/>
      </c>
      <c r="D64" s="4" t="str">
        <f>IF($B$3="","",(B64+C64)/2)</f>
        <v/>
      </c>
      <c r="E64" s="4" t="str">
        <f>IF($B$3="","",((('DCF_ADBE'!$B$3*(1+D64)^1*('DCF_ADBE'!$B$5*(1-'DCF_ADBE'!$B$6)+'DCF_ADBE'!$B$7-'DCF_ADBE'!$B$8)-'DCF_ADBE'!$B$3*(1+D64)^0*D64*'DCF_ADBE'!$B$9)/(1+'DCF_ADBE'!$B$10)^1+('DCF_ADBE'!$B$3*(1+D64)^2*('DCF_ADBE'!$B$5*(1-'DCF_ADBE'!$B$6)+'DCF_ADBE'!$B$7-'DCF_ADBE'!$B$8)-'DCF_ADBE'!$B$3*(1+D64)^1*D64*'DCF_ADBE'!$B$9)/(1+'DCF_ADBE'!$B$10)^2+('DCF_ADBE'!$B$3*(1+D64)^3*('DCF_ADBE'!$B$5*(1-'DCF_ADBE'!$B$6)+'DCF_ADBE'!$B$7-'DCF_ADBE'!$B$8)-'DCF_ADBE'!$B$3*(1+D64)^2*D64*'DCF_ADBE'!$B$9)/(1+'DCF_ADBE'!$B$10)^3+('DCF_ADBE'!$B$3*(1+D64)^4*('DCF_ADBE'!$B$5*(1-'DCF_ADBE'!$B$6)+'DCF_ADBE'!$B$7-'DCF_ADBE'!$B$8)-'DCF_ADBE'!$B$3*(1+D64)^3*D64*'DCF_ADBE'!$B$9)/(1+'DCF_ADBE'!$B$10)^4+('DCF_ADBE'!$B$3*(1+D64)^5*('DCF_ADBE'!$B$5*(1-'DCF_ADBE'!$B$6)+'DCF_ADBE'!$B$7-'DCF_ADBE'!$B$8)-'DCF_ADBE'!$B$3*(1+D64)^4*D64*'DCF_ADBE'!$B$9)/(1+'DCF_ADBE'!$B$10)^5+('DCF_ADBE'!$B$3*(1+D64)^5*(1+'DCF_ADBE'!$B$11)*('DCF_ADBE'!$B$5*(1-'DCF_ADBE'!$B$6)+'DCF_ADBE'!$B$7-'DCF_ADBE'!$B$8)-'DCF_ADBE'!$B$3*(1+D64)^5*'DCF_ADBE'!$B$11*'DCF_ADBE'!$B$9)/('DCF_ADBE'!$B$10-'DCF_ADBE'!$B$11)/(1+'DCF_ADBE'!$B$10)^5-'DCF_ADBE'!$B$13)/'DCF_ADBE'!$B$12))</f>
        <v/>
      </c>
    </row>
    <row r="65" spans="1:5" x14ac:dyDescent="0.25">
      <c r="A65" s="4">
        <v>57</v>
      </c>
      <c r="B65" s="4" t="str">
        <f>IF($B$3="","",IF(E64&lt;$B$3,D64,B64))</f>
        <v/>
      </c>
      <c r="C65" s="4" t="str">
        <f>IF($B$3="","",IF(E64&lt;$B$3,C64,D64))</f>
        <v/>
      </c>
      <c r="D65" s="4" t="str">
        <f>IF($B$3="","",(B65+C65)/2)</f>
        <v/>
      </c>
      <c r="E65" s="4" t="str">
        <f>IF($B$3="","",((('DCF_ADBE'!$B$3*(1+D65)^1*('DCF_ADBE'!$B$5*(1-'DCF_ADBE'!$B$6)+'DCF_ADBE'!$B$7-'DCF_ADBE'!$B$8)-'DCF_ADBE'!$B$3*(1+D65)^0*D65*'DCF_ADBE'!$B$9)/(1+'DCF_ADBE'!$B$10)^1+('DCF_ADBE'!$B$3*(1+D65)^2*('DCF_ADBE'!$B$5*(1-'DCF_ADBE'!$B$6)+'DCF_ADBE'!$B$7-'DCF_ADBE'!$B$8)-'DCF_ADBE'!$B$3*(1+D65)^1*D65*'DCF_ADBE'!$B$9)/(1+'DCF_ADBE'!$B$10)^2+('DCF_ADBE'!$B$3*(1+D65)^3*('DCF_ADBE'!$B$5*(1-'DCF_ADBE'!$B$6)+'DCF_ADBE'!$B$7-'DCF_ADBE'!$B$8)-'DCF_ADBE'!$B$3*(1+D65)^2*D65*'DCF_ADBE'!$B$9)/(1+'DCF_ADBE'!$B$10)^3+('DCF_ADBE'!$B$3*(1+D65)^4*('DCF_ADBE'!$B$5*(1-'DCF_ADBE'!$B$6)+'DCF_ADBE'!$B$7-'DCF_ADBE'!$B$8)-'DCF_ADBE'!$B$3*(1+D65)^3*D65*'DCF_ADBE'!$B$9)/(1+'DCF_ADBE'!$B$10)^4+('DCF_ADBE'!$B$3*(1+D65)^5*('DCF_ADBE'!$B$5*(1-'DCF_ADBE'!$B$6)+'DCF_ADBE'!$B$7-'DCF_ADBE'!$B$8)-'DCF_ADBE'!$B$3*(1+D65)^4*D65*'DCF_ADBE'!$B$9)/(1+'DCF_ADBE'!$B$10)^5+('DCF_ADBE'!$B$3*(1+D65)^5*(1+'DCF_ADBE'!$B$11)*('DCF_ADBE'!$B$5*(1-'DCF_ADBE'!$B$6)+'DCF_ADBE'!$B$7-'DCF_ADBE'!$B$8)-'DCF_ADBE'!$B$3*(1+D65)^5*'DCF_ADBE'!$B$11*'DCF_ADBE'!$B$9)/('DCF_ADBE'!$B$10-'DCF_ADBE'!$B$11)/(1+'DCF_ADBE'!$B$10)^5-'DCF_ADBE'!$B$13)/'DCF_ADBE'!$B$12))</f>
        <v/>
      </c>
    </row>
    <row r="66" spans="1:5" x14ac:dyDescent="0.25">
      <c r="A66" s="4">
        <v>58</v>
      </c>
      <c r="B66" s="4" t="str">
        <f>IF($B$3="","",IF(E65&lt;$B$3,D65,B65))</f>
        <v/>
      </c>
      <c r="C66" s="4" t="str">
        <f>IF($B$3="","",IF(E65&lt;$B$3,C65,D65))</f>
        <v/>
      </c>
      <c r="D66" s="4" t="str">
        <f>IF($B$3="","",(B66+C66)/2)</f>
        <v/>
      </c>
      <c r="E66" s="4" t="str">
        <f>IF($B$3="","",((('DCF_ADBE'!$B$3*(1+D66)^1*('DCF_ADBE'!$B$5*(1-'DCF_ADBE'!$B$6)+'DCF_ADBE'!$B$7-'DCF_ADBE'!$B$8)-'DCF_ADBE'!$B$3*(1+D66)^0*D66*'DCF_ADBE'!$B$9)/(1+'DCF_ADBE'!$B$10)^1+('DCF_ADBE'!$B$3*(1+D66)^2*('DCF_ADBE'!$B$5*(1-'DCF_ADBE'!$B$6)+'DCF_ADBE'!$B$7-'DCF_ADBE'!$B$8)-'DCF_ADBE'!$B$3*(1+D66)^1*D66*'DCF_ADBE'!$B$9)/(1+'DCF_ADBE'!$B$10)^2+('DCF_ADBE'!$B$3*(1+D66)^3*('DCF_ADBE'!$B$5*(1-'DCF_ADBE'!$B$6)+'DCF_ADBE'!$B$7-'DCF_ADBE'!$B$8)-'DCF_ADBE'!$B$3*(1+D66)^2*D66*'DCF_ADBE'!$B$9)/(1+'DCF_ADBE'!$B$10)^3+('DCF_ADBE'!$B$3*(1+D66)^4*('DCF_ADBE'!$B$5*(1-'DCF_ADBE'!$B$6)+'DCF_ADBE'!$B$7-'DCF_ADBE'!$B$8)-'DCF_ADBE'!$B$3*(1+D66)^3*D66*'DCF_ADBE'!$B$9)/(1+'DCF_ADBE'!$B$10)^4+('DCF_ADBE'!$B$3*(1+D66)^5*('DCF_ADBE'!$B$5*(1-'DCF_ADBE'!$B$6)+'DCF_ADBE'!$B$7-'DCF_ADBE'!$B$8)-'DCF_ADBE'!$B$3*(1+D66)^4*D66*'DCF_ADBE'!$B$9)/(1+'DCF_ADBE'!$B$10)^5+('DCF_ADBE'!$B$3*(1+D66)^5*(1+'DCF_ADBE'!$B$11)*('DCF_ADBE'!$B$5*(1-'DCF_ADBE'!$B$6)+'DCF_ADBE'!$B$7-'DCF_ADBE'!$B$8)-'DCF_ADBE'!$B$3*(1+D66)^5*'DCF_ADBE'!$B$11*'DCF_ADBE'!$B$9)/('DCF_ADBE'!$B$10-'DCF_ADBE'!$B$11)/(1+'DCF_ADBE'!$B$10)^5-'DCF_ADBE'!$B$13)/'DCF_ADBE'!$B$12))</f>
        <v/>
      </c>
    </row>
    <row r="67" spans="1:5" x14ac:dyDescent="0.25">
      <c r="A67" s="4">
        <v>59</v>
      </c>
      <c r="B67" s="4" t="str">
        <f>IF($B$3="","",IF(E66&lt;$B$3,D66,B66))</f>
        <v/>
      </c>
      <c r="C67" s="4" t="str">
        <f>IF($B$3="","",IF(E66&lt;$B$3,C66,D66))</f>
        <v/>
      </c>
      <c r="D67" s="4" t="str">
        <f>IF($B$3="","",(B67+C67)/2)</f>
        <v/>
      </c>
      <c r="E67" s="4" t="str">
        <f>IF($B$3="","",((('DCF_ADBE'!$B$3*(1+D67)^1*('DCF_ADBE'!$B$5*(1-'DCF_ADBE'!$B$6)+'DCF_ADBE'!$B$7-'DCF_ADBE'!$B$8)-'DCF_ADBE'!$B$3*(1+D67)^0*D67*'DCF_ADBE'!$B$9)/(1+'DCF_ADBE'!$B$10)^1+('DCF_ADBE'!$B$3*(1+D67)^2*('DCF_ADBE'!$B$5*(1-'DCF_ADBE'!$B$6)+'DCF_ADBE'!$B$7-'DCF_ADBE'!$B$8)-'DCF_ADBE'!$B$3*(1+D67)^1*D67*'DCF_ADBE'!$B$9)/(1+'DCF_ADBE'!$B$10)^2+('DCF_ADBE'!$B$3*(1+D67)^3*('DCF_ADBE'!$B$5*(1-'DCF_ADBE'!$B$6)+'DCF_ADBE'!$B$7-'DCF_ADBE'!$B$8)-'DCF_ADBE'!$B$3*(1+D67)^2*D67*'DCF_ADBE'!$B$9)/(1+'DCF_ADBE'!$B$10)^3+('DCF_ADBE'!$B$3*(1+D67)^4*('DCF_ADBE'!$B$5*(1-'DCF_ADBE'!$B$6)+'DCF_ADBE'!$B$7-'DCF_ADBE'!$B$8)-'DCF_ADBE'!$B$3*(1+D67)^3*D67*'DCF_ADBE'!$B$9)/(1+'DCF_ADBE'!$B$10)^4+('DCF_ADBE'!$B$3*(1+D67)^5*('DCF_ADBE'!$B$5*(1-'DCF_ADBE'!$B$6)+'DCF_ADBE'!$B$7-'DCF_ADBE'!$B$8)-'DCF_ADBE'!$B$3*(1+D67)^4*D67*'DCF_ADBE'!$B$9)/(1+'DCF_ADBE'!$B$10)^5+('DCF_ADBE'!$B$3*(1+D67)^5*(1+'DCF_ADBE'!$B$11)*('DCF_ADBE'!$B$5*(1-'DCF_ADBE'!$B$6)+'DCF_ADBE'!$B$7-'DCF_ADBE'!$B$8)-'DCF_ADBE'!$B$3*(1+D67)^5*'DCF_ADBE'!$B$11*'DCF_ADBE'!$B$9)/('DCF_ADBE'!$B$10-'DCF_ADBE'!$B$11)/(1+'DCF_ADBE'!$B$10)^5-'DCF_ADBE'!$B$13)/'DCF_ADBE'!$B$12))</f>
        <v/>
      </c>
    </row>
    <row r="68" spans="1:5" x14ac:dyDescent="0.25">
      <c r="A68" s="4">
        <v>60</v>
      </c>
      <c r="B68" s="4" t="str">
        <f>IF($B$3="","",IF(E67&lt;$B$3,D67,B67))</f>
        <v/>
      </c>
      <c r="C68" s="4" t="str">
        <f>IF($B$3="","",IF(E67&lt;$B$3,C67,D67))</f>
        <v/>
      </c>
      <c r="D68" s="4" t="str">
        <f>IF($B$3="","",(B68+C68)/2)</f>
        <v/>
      </c>
      <c r="E68" s="4" t="str">
        <f>IF($B$3="","",((('DCF_ADBE'!$B$3*(1+D68)^1*('DCF_ADBE'!$B$5*(1-'DCF_ADBE'!$B$6)+'DCF_ADBE'!$B$7-'DCF_ADBE'!$B$8)-'DCF_ADBE'!$B$3*(1+D68)^0*D68*'DCF_ADBE'!$B$9)/(1+'DCF_ADBE'!$B$10)^1+('DCF_ADBE'!$B$3*(1+D68)^2*('DCF_ADBE'!$B$5*(1-'DCF_ADBE'!$B$6)+'DCF_ADBE'!$B$7-'DCF_ADBE'!$B$8)-'DCF_ADBE'!$B$3*(1+D68)^1*D68*'DCF_ADBE'!$B$9)/(1+'DCF_ADBE'!$B$10)^2+('DCF_ADBE'!$B$3*(1+D68)^3*('DCF_ADBE'!$B$5*(1-'DCF_ADBE'!$B$6)+'DCF_ADBE'!$B$7-'DCF_ADBE'!$B$8)-'DCF_ADBE'!$B$3*(1+D68)^2*D68*'DCF_ADBE'!$B$9)/(1+'DCF_ADBE'!$B$10)^3+('DCF_ADBE'!$B$3*(1+D68)^4*('DCF_ADBE'!$B$5*(1-'DCF_ADBE'!$B$6)+'DCF_ADBE'!$B$7-'DCF_ADBE'!$B$8)-'DCF_ADBE'!$B$3*(1+D68)^3*D68*'DCF_ADBE'!$B$9)/(1+'DCF_ADBE'!$B$10)^4+('DCF_ADBE'!$B$3*(1+D68)^5*('DCF_ADBE'!$B$5*(1-'DCF_ADBE'!$B$6)+'DCF_ADBE'!$B$7-'DCF_ADBE'!$B$8)-'DCF_ADBE'!$B$3*(1+D68)^4*D68*'DCF_ADBE'!$B$9)/(1+'DCF_ADBE'!$B$10)^5+('DCF_ADBE'!$B$3*(1+D68)^5*(1+'DCF_ADBE'!$B$11)*('DCF_ADBE'!$B$5*(1-'DCF_ADBE'!$B$6)+'DCF_ADBE'!$B$7-'DCF_ADBE'!$B$8)-'DCF_ADBE'!$B$3*(1+D68)^5*'DCF_ADBE'!$B$11*'DCF_ADBE'!$B$9)/('DCF_ADBE'!$B$10-'DCF_ADBE'!$B$11)/(1+'DCF_ADBE'!$B$10)^5-'DCF_ADBE'!$B$13)/'DCF_ADBE'!$B$12))</f>
        <v/>
      </c>
    </row>
    <row r="72" spans="1:5" x14ac:dyDescent="0.25">
      <c r="A72" s="4" t="s">
        <v>890</v>
      </c>
      <c r="B72" s="4" t="s">
        <v>1235</v>
      </c>
      <c r="C72" s="4" t="s">
        <v>1236</v>
      </c>
      <c r="D72" s="4" t="s">
        <v>1237</v>
      </c>
      <c r="E72" s="4" t="s">
        <v>1238</v>
      </c>
    </row>
    <row r="73" spans="1:5" x14ac:dyDescent="0.25">
      <c r="A73" s="4">
        <v>1</v>
      </c>
      <c r="B73" s="4">
        <v>-0.45</v>
      </c>
      <c r="C73" s="4">
        <v>0.5</v>
      </c>
      <c r="D73" s="4" t="str">
        <f>IF($B$4="","",(B73+C73)/2)</f>
        <v/>
      </c>
      <c r="E73" s="4" t="str">
        <f>IF($B$4="","",((('DCF_PYPL'!$B$3*(1+D73)^1*('DCF_PYPL'!$B$5*(1-'DCF_PYPL'!$B$6)+'DCF_PYPL'!$B$7-'DCF_PYPL'!$B$8)-'DCF_PYPL'!$B$3*(1+D73)^0*D73*'DCF_PYPL'!$B$9)/(1+'DCF_PYPL'!$B$10)^1+('DCF_PYPL'!$B$3*(1+D73)^2*('DCF_PYPL'!$B$5*(1-'DCF_PYPL'!$B$6)+'DCF_PYPL'!$B$7-'DCF_PYPL'!$B$8)-'DCF_PYPL'!$B$3*(1+D73)^1*D73*'DCF_PYPL'!$B$9)/(1+'DCF_PYPL'!$B$10)^2+('DCF_PYPL'!$B$3*(1+D73)^3*('DCF_PYPL'!$B$5*(1-'DCF_PYPL'!$B$6)+'DCF_PYPL'!$B$7-'DCF_PYPL'!$B$8)-'DCF_PYPL'!$B$3*(1+D73)^2*D73*'DCF_PYPL'!$B$9)/(1+'DCF_PYPL'!$B$10)^3+('DCF_PYPL'!$B$3*(1+D73)^4*('DCF_PYPL'!$B$5*(1-'DCF_PYPL'!$B$6)+'DCF_PYPL'!$B$7-'DCF_PYPL'!$B$8)-'DCF_PYPL'!$B$3*(1+D73)^3*D73*'DCF_PYPL'!$B$9)/(1+'DCF_PYPL'!$B$10)^4+('DCF_PYPL'!$B$3*(1+D73)^5*('DCF_PYPL'!$B$5*(1-'DCF_PYPL'!$B$6)+'DCF_PYPL'!$B$7-'DCF_PYPL'!$B$8)-'DCF_PYPL'!$B$3*(1+D73)^4*D73*'DCF_PYPL'!$B$9)/(1+'DCF_PYPL'!$B$10)^5+('DCF_PYPL'!$B$3*(1+D73)^5*(1+'DCF_PYPL'!$B$11)*('DCF_PYPL'!$B$5*(1-'DCF_PYPL'!$B$6)+'DCF_PYPL'!$B$7-'DCF_PYPL'!$B$8)-'DCF_PYPL'!$B$3*(1+D73)^5*'DCF_PYPL'!$B$11*'DCF_PYPL'!$B$9)/('DCF_PYPL'!$B$10-'DCF_PYPL'!$B$11)/(1+'DCF_PYPL'!$B$10)^5-'DCF_PYPL'!$B$13)/'DCF_PYPL'!$B$12))</f>
        <v/>
      </c>
    </row>
    <row r="74" spans="1:5" x14ac:dyDescent="0.25">
      <c r="A74" s="4">
        <v>2</v>
      </c>
      <c r="B74" s="4" t="str">
        <f>IF($B$4="","",IF(E73&lt;$B$4,D73,B73))</f>
        <v/>
      </c>
      <c r="C74" s="4" t="str">
        <f>IF($B$4="","",IF(E73&lt;$B$4,C73,D73))</f>
        <v/>
      </c>
      <c r="D74" s="4" t="str">
        <f>IF($B$4="","",(B74+C74)/2)</f>
        <v/>
      </c>
      <c r="E74" s="4" t="str">
        <f>IF($B$4="","",((('DCF_PYPL'!$B$3*(1+D74)^1*('DCF_PYPL'!$B$5*(1-'DCF_PYPL'!$B$6)+'DCF_PYPL'!$B$7-'DCF_PYPL'!$B$8)-'DCF_PYPL'!$B$3*(1+D74)^0*D74*'DCF_PYPL'!$B$9)/(1+'DCF_PYPL'!$B$10)^1+('DCF_PYPL'!$B$3*(1+D74)^2*('DCF_PYPL'!$B$5*(1-'DCF_PYPL'!$B$6)+'DCF_PYPL'!$B$7-'DCF_PYPL'!$B$8)-'DCF_PYPL'!$B$3*(1+D74)^1*D74*'DCF_PYPL'!$B$9)/(1+'DCF_PYPL'!$B$10)^2+('DCF_PYPL'!$B$3*(1+D74)^3*('DCF_PYPL'!$B$5*(1-'DCF_PYPL'!$B$6)+'DCF_PYPL'!$B$7-'DCF_PYPL'!$B$8)-'DCF_PYPL'!$B$3*(1+D74)^2*D74*'DCF_PYPL'!$B$9)/(1+'DCF_PYPL'!$B$10)^3+('DCF_PYPL'!$B$3*(1+D74)^4*('DCF_PYPL'!$B$5*(1-'DCF_PYPL'!$B$6)+'DCF_PYPL'!$B$7-'DCF_PYPL'!$B$8)-'DCF_PYPL'!$B$3*(1+D74)^3*D74*'DCF_PYPL'!$B$9)/(1+'DCF_PYPL'!$B$10)^4+('DCF_PYPL'!$B$3*(1+D74)^5*('DCF_PYPL'!$B$5*(1-'DCF_PYPL'!$B$6)+'DCF_PYPL'!$B$7-'DCF_PYPL'!$B$8)-'DCF_PYPL'!$B$3*(1+D74)^4*D74*'DCF_PYPL'!$B$9)/(1+'DCF_PYPL'!$B$10)^5+('DCF_PYPL'!$B$3*(1+D74)^5*(1+'DCF_PYPL'!$B$11)*('DCF_PYPL'!$B$5*(1-'DCF_PYPL'!$B$6)+'DCF_PYPL'!$B$7-'DCF_PYPL'!$B$8)-'DCF_PYPL'!$B$3*(1+D74)^5*'DCF_PYPL'!$B$11*'DCF_PYPL'!$B$9)/('DCF_PYPL'!$B$10-'DCF_PYPL'!$B$11)/(1+'DCF_PYPL'!$B$10)^5-'DCF_PYPL'!$B$13)/'DCF_PYPL'!$B$12))</f>
        <v/>
      </c>
    </row>
    <row r="75" spans="1:5" x14ac:dyDescent="0.25">
      <c r="A75" s="4">
        <v>3</v>
      </c>
      <c r="B75" s="4" t="str">
        <f>IF($B$4="","",IF(E74&lt;$B$4,D74,B74))</f>
        <v/>
      </c>
      <c r="C75" s="4" t="str">
        <f>IF($B$4="","",IF(E74&lt;$B$4,C74,D74))</f>
        <v/>
      </c>
      <c r="D75" s="4" t="str">
        <f>IF($B$4="","",(B75+C75)/2)</f>
        <v/>
      </c>
      <c r="E75" s="4" t="str">
        <f>IF($B$4="","",((('DCF_PYPL'!$B$3*(1+D75)^1*('DCF_PYPL'!$B$5*(1-'DCF_PYPL'!$B$6)+'DCF_PYPL'!$B$7-'DCF_PYPL'!$B$8)-'DCF_PYPL'!$B$3*(1+D75)^0*D75*'DCF_PYPL'!$B$9)/(1+'DCF_PYPL'!$B$10)^1+('DCF_PYPL'!$B$3*(1+D75)^2*('DCF_PYPL'!$B$5*(1-'DCF_PYPL'!$B$6)+'DCF_PYPL'!$B$7-'DCF_PYPL'!$B$8)-'DCF_PYPL'!$B$3*(1+D75)^1*D75*'DCF_PYPL'!$B$9)/(1+'DCF_PYPL'!$B$10)^2+('DCF_PYPL'!$B$3*(1+D75)^3*('DCF_PYPL'!$B$5*(1-'DCF_PYPL'!$B$6)+'DCF_PYPL'!$B$7-'DCF_PYPL'!$B$8)-'DCF_PYPL'!$B$3*(1+D75)^2*D75*'DCF_PYPL'!$B$9)/(1+'DCF_PYPL'!$B$10)^3+('DCF_PYPL'!$B$3*(1+D75)^4*('DCF_PYPL'!$B$5*(1-'DCF_PYPL'!$B$6)+'DCF_PYPL'!$B$7-'DCF_PYPL'!$B$8)-'DCF_PYPL'!$B$3*(1+D75)^3*D75*'DCF_PYPL'!$B$9)/(1+'DCF_PYPL'!$B$10)^4+('DCF_PYPL'!$B$3*(1+D75)^5*('DCF_PYPL'!$B$5*(1-'DCF_PYPL'!$B$6)+'DCF_PYPL'!$B$7-'DCF_PYPL'!$B$8)-'DCF_PYPL'!$B$3*(1+D75)^4*D75*'DCF_PYPL'!$B$9)/(1+'DCF_PYPL'!$B$10)^5+('DCF_PYPL'!$B$3*(1+D75)^5*(1+'DCF_PYPL'!$B$11)*('DCF_PYPL'!$B$5*(1-'DCF_PYPL'!$B$6)+'DCF_PYPL'!$B$7-'DCF_PYPL'!$B$8)-'DCF_PYPL'!$B$3*(1+D75)^5*'DCF_PYPL'!$B$11*'DCF_PYPL'!$B$9)/('DCF_PYPL'!$B$10-'DCF_PYPL'!$B$11)/(1+'DCF_PYPL'!$B$10)^5-'DCF_PYPL'!$B$13)/'DCF_PYPL'!$B$12))</f>
        <v/>
      </c>
    </row>
    <row r="76" spans="1:5" x14ac:dyDescent="0.25">
      <c r="A76" s="4">
        <v>4</v>
      </c>
      <c r="B76" s="4" t="str">
        <f>IF($B$4="","",IF(E75&lt;$B$4,D75,B75))</f>
        <v/>
      </c>
      <c r="C76" s="4" t="str">
        <f>IF($B$4="","",IF(E75&lt;$B$4,C75,D75))</f>
        <v/>
      </c>
      <c r="D76" s="4" t="str">
        <f>IF($B$4="","",(B76+C76)/2)</f>
        <v/>
      </c>
      <c r="E76" s="4" t="str">
        <f>IF($B$4="","",((('DCF_PYPL'!$B$3*(1+D76)^1*('DCF_PYPL'!$B$5*(1-'DCF_PYPL'!$B$6)+'DCF_PYPL'!$B$7-'DCF_PYPL'!$B$8)-'DCF_PYPL'!$B$3*(1+D76)^0*D76*'DCF_PYPL'!$B$9)/(1+'DCF_PYPL'!$B$10)^1+('DCF_PYPL'!$B$3*(1+D76)^2*('DCF_PYPL'!$B$5*(1-'DCF_PYPL'!$B$6)+'DCF_PYPL'!$B$7-'DCF_PYPL'!$B$8)-'DCF_PYPL'!$B$3*(1+D76)^1*D76*'DCF_PYPL'!$B$9)/(1+'DCF_PYPL'!$B$10)^2+('DCF_PYPL'!$B$3*(1+D76)^3*('DCF_PYPL'!$B$5*(1-'DCF_PYPL'!$B$6)+'DCF_PYPL'!$B$7-'DCF_PYPL'!$B$8)-'DCF_PYPL'!$B$3*(1+D76)^2*D76*'DCF_PYPL'!$B$9)/(1+'DCF_PYPL'!$B$10)^3+('DCF_PYPL'!$B$3*(1+D76)^4*('DCF_PYPL'!$B$5*(1-'DCF_PYPL'!$B$6)+'DCF_PYPL'!$B$7-'DCF_PYPL'!$B$8)-'DCF_PYPL'!$B$3*(1+D76)^3*D76*'DCF_PYPL'!$B$9)/(1+'DCF_PYPL'!$B$10)^4+('DCF_PYPL'!$B$3*(1+D76)^5*('DCF_PYPL'!$B$5*(1-'DCF_PYPL'!$B$6)+'DCF_PYPL'!$B$7-'DCF_PYPL'!$B$8)-'DCF_PYPL'!$B$3*(1+D76)^4*D76*'DCF_PYPL'!$B$9)/(1+'DCF_PYPL'!$B$10)^5+('DCF_PYPL'!$B$3*(1+D76)^5*(1+'DCF_PYPL'!$B$11)*('DCF_PYPL'!$B$5*(1-'DCF_PYPL'!$B$6)+'DCF_PYPL'!$B$7-'DCF_PYPL'!$B$8)-'DCF_PYPL'!$B$3*(1+D76)^5*'DCF_PYPL'!$B$11*'DCF_PYPL'!$B$9)/('DCF_PYPL'!$B$10-'DCF_PYPL'!$B$11)/(1+'DCF_PYPL'!$B$10)^5-'DCF_PYPL'!$B$13)/'DCF_PYPL'!$B$12))</f>
        <v/>
      </c>
    </row>
    <row r="77" spans="1:5" x14ac:dyDescent="0.25">
      <c r="A77" s="4">
        <v>5</v>
      </c>
      <c r="B77" s="4" t="str">
        <f>IF($B$4="","",IF(E76&lt;$B$4,D76,B76))</f>
        <v/>
      </c>
      <c r="C77" s="4" t="str">
        <f>IF($B$4="","",IF(E76&lt;$B$4,C76,D76))</f>
        <v/>
      </c>
      <c r="D77" s="4" t="str">
        <f>IF($B$4="","",(B77+C77)/2)</f>
        <v/>
      </c>
      <c r="E77" s="4" t="str">
        <f>IF($B$4="","",((('DCF_PYPL'!$B$3*(1+D77)^1*('DCF_PYPL'!$B$5*(1-'DCF_PYPL'!$B$6)+'DCF_PYPL'!$B$7-'DCF_PYPL'!$B$8)-'DCF_PYPL'!$B$3*(1+D77)^0*D77*'DCF_PYPL'!$B$9)/(1+'DCF_PYPL'!$B$10)^1+('DCF_PYPL'!$B$3*(1+D77)^2*('DCF_PYPL'!$B$5*(1-'DCF_PYPL'!$B$6)+'DCF_PYPL'!$B$7-'DCF_PYPL'!$B$8)-'DCF_PYPL'!$B$3*(1+D77)^1*D77*'DCF_PYPL'!$B$9)/(1+'DCF_PYPL'!$B$10)^2+('DCF_PYPL'!$B$3*(1+D77)^3*('DCF_PYPL'!$B$5*(1-'DCF_PYPL'!$B$6)+'DCF_PYPL'!$B$7-'DCF_PYPL'!$B$8)-'DCF_PYPL'!$B$3*(1+D77)^2*D77*'DCF_PYPL'!$B$9)/(1+'DCF_PYPL'!$B$10)^3+('DCF_PYPL'!$B$3*(1+D77)^4*('DCF_PYPL'!$B$5*(1-'DCF_PYPL'!$B$6)+'DCF_PYPL'!$B$7-'DCF_PYPL'!$B$8)-'DCF_PYPL'!$B$3*(1+D77)^3*D77*'DCF_PYPL'!$B$9)/(1+'DCF_PYPL'!$B$10)^4+('DCF_PYPL'!$B$3*(1+D77)^5*('DCF_PYPL'!$B$5*(1-'DCF_PYPL'!$B$6)+'DCF_PYPL'!$B$7-'DCF_PYPL'!$B$8)-'DCF_PYPL'!$B$3*(1+D77)^4*D77*'DCF_PYPL'!$B$9)/(1+'DCF_PYPL'!$B$10)^5+('DCF_PYPL'!$B$3*(1+D77)^5*(1+'DCF_PYPL'!$B$11)*('DCF_PYPL'!$B$5*(1-'DCF_PYPL'!$B$6)+'DCF_PYPL'!$B$7-'DCF_PYPL'!$B$8)-'DCF_PYPL'!$B$3*(1+D77)^5*'DCF_PYPL'!$B$11*'DCF_PYPL'!$B$9)/('DCF_PYPL'!$B$10-'DCF_PYPL'!$B$11)/(1+'DCF_PYPL'!$B$10)^5-'DCF_PYPL'!$B$13)/'DCF_PYPL'!$B$12))</f>
        <v/>
      </c>
    </row>
    <row r="78" spans="1:5" x14ac:dyDescent="0.25">
      <c r="A78" s="4">
        <v>6</v>
      </c>
      <c r="B78" s="4" t="str">
        <f>IF($B$4="","",IF(E77&lt;$B$4,D77,B77))</f>
        <v/>
      </c>
      <c r="C78" s="4" t="str">
        <f>IF($B$4="","",IF(E77&lt;$B$4,C77,D77))</f>
        <v/>
      </c>
      <c r="D78" s="4" t="str">
        <f>IF($B$4="","",(B78+C78)/2)</f>
        <v/>
      </c>
      <c r="E78" s="4" t="str">
        <f>IF($B$4="","",((('DCF_PYPL'!$B$3*(1+D78)^1*('DCF_PYPL'!$B$5*(1-'DCF_PYPL'!$B$6)+'DCF_PYPL'!$B$7-'DCF_PYPL'!$B$8)-'DCF_PYPL'!$B$3*(1+D78)^0*D78*'DCF_PYPL'!$B$9)/(1+'DCF_PYPL'!$B$10)^1+('DCF_PYPL'!$B$3*(1+D78)^2*('DCF_PYPL'!$B$5*(1-'DCF_PYPL'!$B$6)+'DCF_PYPL'!$B$7-'DCF_PYPL'!$B$8)-'DCF_PYPL'!$B$3*(1+D78)^1*D78*'DCF_PYPL'!$B$9)/(1+'DCF_PYPL'!$B$10)^2+('DCF_PYPL'!$B$3*(1+D78)^3*('DCF_PYPL'!$B$5*(1-'DCF_PYPL'!$B$6)+'DCF_PYPL'!$B$7-'DCF_PYPL'!$B$8)-'DCF_PYPL'!$B$3*(1+D78)^2*D78*'DCF_PYPL'!$B$9)/(1+'DCF_PYPL'!$B$10)^3+('DCF_PYPL'!$B$3*(1+D78)^4*('DCF_PYPL'!$B$5*(1-'DCF_PYPL'!$B$6)+'DCF_PYPL'!$B$7-'DCF_PYPL'!$B$8)-'DCF_PYPL'!$B$3*(1+D78)^3*D78*'DCF_PYPL'!$B$9)/(1+'DCF_PYPL'!$B$10)^4+('DCF_PYPL'!$B$3*(1+D78)^5*('DCF_PYPL'!$B$5*(1-'DCF_PYPL'!$B$6)+'DCF_PYPL'!$B$7-'DCF_PYPL'!$B$8)-'DCF_PYPL'!$B$3*(1+D78)^4*D78*'DCF_PYPL'!$B$9)/(1+'DCF_PYPL'!$B$10)^5+('DCF_PYPL'!$B$3*(1+D78)^5*(1+'DCF_PYPL'!$B$11)*('DCF_PYPL'!$B$5*(1-'DCF_PYPL'!$B$6)+'DCF_PYPL'!$B$7-'DCF_PYPL'!$B$8)-'DCF_PYPL'!$B$3*(1+D78)^5*'DCF_PYPL'!$B$11*'DCF_PYPL'!$B$9)/('DCF_PYPL'!$B$10-'DCF_PYPL'!$B$11)/(1+'DCF_PYPL'!$B$10)^5-'DCF_PYPL'!$B$13)/'DCF_PYPL'!$B$12))</f>
        <v/>
      </c>
    </row>
    <row r="79" spans="1:5" x14ac:dyDescent="0.25">
      <c r="A79" s="4">
        <v>7</v>
      </c>
      <c r="B79" s="4" t="str">
        <f>IF($B$4="","",IF(E78&lt;$B$4,D78,B78))</f>
        <v/>
      </c>
      <c r="C79" s="4" t="str">
        <f>IF($B$4="","",IF(E78&lt;$B$4,C78,D78))</f>
        <v/>
      </c>
      <c r="D79" s="4" t="str">
        <f>IF($B$4="","",(B79+C79)/2)</f>
        <v/>
      </c>
      <c r="E79" s="4" t="str">
        <f>IF($B$4="","",((('DCF_PYPL'!$B$3*(1+D79)^1*('DCF_PYPL'!$B$5*(1-'DCF_PYPL'!$B$6)+'DCF_PYPL'!$B$7-'DCF_PYPL'!$B$8)-'DCF_PYPL'!$B$3*(1+D79)^0*D79*'DCF_PYPL'!$B$9)/(1+'DCF_PYPL'!$B$10)^1+('DCF_PYPL'!$B$3*(1+D79)^2*('DCF_PYPL'!$B$5*(1-'DCF_PYPL'!$B$6)+'DCF_PYPL'!$B$7-'DCF_PYPL'!$B$8)-'DCF_PYPL'!$B$3*(1+D79)^1*D79*'DCF_PYPL'!$B$9)/(1+'DCF_PYPL'!$B$10)^2+('DCF_PYPL'!$B$3*(1+D79)^3*('DCF_PYPL'!$B$5*(1-'DCF_PYPL'!$B$6)+'DCF_PYPL'!$B$7-'DCF_PYPL'!$B$8)-'DCF_PYPL'!$B$3*(1+D79)^2*D79*'DCF_PYPL'!$B$9)/(1+'DCF_PYPL'!$B$10)^3+('DCF_PYPL'!$B$3*(1+D79)^4*('DCF_PYPL'!$B$5*(1-'DCF_PYPL'!$B$6)+'DCF_PYPL'!$B$7-'DCF_PYPL'!$B$8)-'DCF_PYPL'!$B$3*(1+D79)^3*D79*'DCF_PYPL'!$B$9)/(1+'DCF_PYPL'!$B$10)^4+('DCF_PYPL'!$B$3*(1+D79)^5*('DCF_PYPL'!$B$5*(1-'DCF_PYPL'!$B$6)+'DCF_PYPL'!$B$7-'DCF_PYPL'!$B$8)-'DCF_PYPL'!$B$3*(1+D79)^4*D79*'DCF_PYPL'!$B$9)/(1+'DCF_PYPL'!$B$10)^5+('DCF_PYPL'!$B$3*(1+D79)^5*(1+'DCF_PYPL'!$B$11)*('DCF_PYPL'!$B$5*(1-'DCF_PYPL'!$B$6)+'DCF_PYPL'!$B$7-'DCF_PYPL'!$B$8)-'DCF_PYPL'!$B$3*(1+D79)^5*'DCF_PYPL'!$B$11*'DCF_PYPL'!$B$9)/('DCF_PYPL'!$B$10-'DCF_PYPL'!$B$11)/(1+'DCF_PYPL'!$B$10)^5-'DCF_PYPL'!$B$13)/'DCF_PYPL'!$B$12))</f>
        <v/>
      </c>
    </row>
    <row r="80" spans="1:5" x14ac:dyDescent="0.25">
      <c r="A80" s="4">
        <v>8</v>
      </c>
      <c r="B80" s="4" t="str">
        <f>IF($B$4="","",IF(E79&lt;$B$4,D79,B79))</f>
        <v/>
      </c>
      <c r="C80" s="4" t="str">
        <f>IF($B$4="","",IF(E79&lt;$B$4,C79,D79))</f>
        <v/>
      </c>
      <c r="D80" s="4" t="str">
        <f>IF($B$4="","",(B80+C80)/2)</f>
        <v/>
      </c>
      <c r="E80" s="4" t="str">
        <f>IF($B$4="","",((('DCF_PYPL'!$B$3*(1+D80)^1*('DCF_PYPL'!$B$5*(1-'DCF_PYPL'!$B$6)+'DCF_PYPL'!$B$7-'DCF_PYPL'!$B$8)-'DCF_PYPL'!$B$3*(1+D80)^0*D80*'DCF_PYPL'!$B$9)/(1+'DCF_PYPL'!$B$10)^1+('DCF_PYPL'!$B$3*(1+D80)^2*('DCF_PYPL'!$B$5*(1-'DCF_PYPL'!$B$6)+'DCF_PYPL'!$B$7-'DCF_PYPL'!$B$8)-'DCF_PYPL'!$B$3*(1+D80)^1*D80*'DCF_PYPL'!$B$9)/(1+'DCF_PYPL'!$B$10)^2+('DCF_PYPL'!$B$3*(1+D80)^3*('DCF_PYPL'!$B$5*(1-'DCF_PYPL'!$B$6)+'DCF_PYPL'!$B$7-'DCF_PYPL'!$B$8)-'DCF_PYPL'!$B$3*(1+D80)^2*D80*'DCF_PYPL'!$B$9)/(1+'DCF_PYPL'!$B$10)^3+('DCF_PYPL'!$B$3*(1+D80)^4*('DCF_PYPL'!$B$5*(1-'DCF_PYPL'!$B$6)+'DCF_PYPL'!$B$7-'DCF_PYPL'!$B$8)-'DCF_PYPL'!$B$3*(1+D80)^3*D80*'DCF_PYPL'!$B$9)/(1+'DCF_PYPL'!$B$10)^4+('DCF_PYPL'!$B$3*(1+D80)^5*('DCF_PYPL'!$B$5*(1-'DCF_PYPL'!$B$6)+'DCF_PYPL'!$B$7-'DCF_PYPL'!$B$8)-'DCF_PYPL'!$B$3*(1+D80)^4*D80*'DCF_PYPL'!$B$9)/(1+'DCF_PYPL'!$B$10)^5+('DCF_PYPL'!$B$3*(1+D80)^5*(1+'DCF_PYPL'!$B$11)*('DCF_PYPL'!$B$5*(1-'DCF_PYPL'!$B$6)+'DCF_PYPL'!$B$7-'DCF_PYPL'!$B$8)-'DCF_PYPL'!$B$3*(1+D80)^5*'DCF_PYPL'!$B$11*'DCF_PYPL'!$B$9)/('DCF_PYPL'!$B$10-'DCF_PYPL'!$B$11)/(1+'DCF_PYPL'!$B$10)^5-'DCF_PYPL'!$B$13)/'DCF_PYPL'!$B$12))</f>
        <v/>
      </c>
    </row>
    <row r="81" spans="1:5" x14ac:dyDescent="0.25">
      <c r="A81" s="4">
        <v>9</v>
      </c>
      <c r="B81" s="4" t="str">
        <f>IF($B$4="","",IF(E80&lt;$B$4,D80,B80))</f>
        <v/>
      </c>
      <c r="C81" s="4" t="str">
        <f>IF($B$4="","",IF(E80&lt;$B$4,C80,D80))</f>
        <v/>
      </c>
      <c r="D81" s="4" t="str">
        <f>IF($B$4="","",(B81+C81)/2)</f>
        <v/>
      </c>
      <c r="E81" s="4" t="str">
        <f>IF($B$4="","",((('DCF_PYPL'!$B$3*(1+D81)^1*('DCF_PYPL'!$B$5*(1-'DCF_PYPL'!$B$6)+'DCF_PYPL'!$B$7-'DCF_PYPL'!$B$8)-'DCF_PYPL'!$B$3*(1+D81)^0*D81*'DCF_PYPL'!$B$9)/(1+'DCF_PYPL'!$B$10)^1+('DCF_PYPL'!$B$3*(1+D81)^2*('DCF_PYPL'!$B$5*(1-'DCF_PYPL'!$B$6)+'DCF_PYPL'!$B$7-'DCF_PYPL'!$B$8)-'DCF_PYPL'!$B$3*(1+D81)^1*D81*'DCF_PYPL'!$B$9)/(1+'DCF_PYPL'!$B$10)^2+('DCF_PYPL'!$B$3*(1+D81)^3*('DCF_PYPL'!$B$5*(1-'DCF_PYPL'!$B$6)+'DCF_PYPL'!$B$7-'DCF_PYPL'!$B$8)-'DCF_PYPL'!$B$3*(1+D81)^2*D81*'DCF_PYPL'!$B$9)/(1+'DCF_PYPL'!$B$10)^3+('DCF_PYPL'!$B$3*(1+D81)^4*('DCF_PYPL'!$B$5*(1-'DCF_PYPL'!$B$6)+'DCF_PYPL'!$B$7-'DCF_PYPL'!$B$8)-'DCF_PYPL'!$B$3*(1+D81)^3*D81*'DCF_PYPL'!$B$9)/(1+'DCF_PYPL'!$B$10)^4+('DCF_PYPL'!$B$3*(1+D81)^5*('DCF_PYPL'!$B$5*(1-'DCF_PYPL'!$B$6)+'DCF_PYPL'!$B$7-'DCF_PYPL'!$B$8)-'DCF_PYPL'!$B$3*(1+D81)^4*D81*'DCF_PYPL'!$B$9)/(1+'DCF_PYPL'!$B$10)^5+('DCF_PYPL'!$B$3*(1+D81)^5*(1+'DCF_PYPL'!$B$11)*('DCF_PYPL'!$B$5*(1-'DCF_PYPL'!$B$6)+'DCF_PYPL'!$B$7-'DCF_PYPL'!$B$8)-'DCF_PYPL'!$B$3*(1+D81)^5*'DCF_PYPL'!$B$11*'DCF_PYPL'!$B$9)/('DCF_PYPL'!$B$10-'DCF_PYPL'!$B$11)/(1+'DCF_PYPL'!$B$10)^5-'DCF_PYPL'!$B$13)/'DCF_PYPL'!$B$12))</f>
        <v/>
      </c>
    </row>
    <row r="82" spans="1:5" x14ac:dyDescent="0.25">
      <c r="A82" s="4">
        <v>10</v>
      </c>
      <c r="B82" s="4" t="str">
        <f>IF($B$4="","",IF(E81&lt;$B$4,D81,B81))</f>
        <v/>
      </c>
      <c r="C82" s="4" t="str">
        <f>IF($B$4="","",IF(E81&lt;$B$4,C81,D81))</f>
        <v/>
      </c>
      <c r="D82" s="4" t="str">
        <f>IF($B$4="","",(B82+C82)/2)</f>
        <v/>
      </c>
      <c r="E82" s="4" t="str">
        <f>IF($B$4="","",((('DCF_PYPL'!$B$3*(1+D82)^1*('DCF_PYPL'!$B$5*(1-'DCF_PYPL'!$B$6)+'DCF_PYPL'!$B$7-'DCF_PYPL'!$B$8)-'DCF_PYPL'!$B$3*(1+D82)^0*D82*'DCF_PYPL'!$B$9)/(1+'DCF_PYPL'!$B$10)^1+('DCF_PYPL'!$B$3*(1+D82)^2*('DCF_PYPL'!$B$5*(1-'DCF_PYPL'!$B$6)+'DCF_PYPL'!$B$7-'DCF_PYPL'!$B$8)-'DCF_PYPL'!$B$3*(1+D82)^1*D82*'DCF_PYPL'!$B$9)/(1+'DCF_PYPL'!$B$10)^2+('DCF_PYPL'!$B$3*(1+D82)^3*('DCF_PYPL'!$B$5*(1-'DCF_PYPL'!$B$6)+'DCF_PYPL'!$B$7-'DCF_PYPL'!$B$8)-'DCF_PYPL'!$B$3*(1+D82)^2*D82*'DCF_PYPL'!$B$9)/(1+'DCF_PYPL'!$B$10)^3+('DCF_PYPL'!$B$3*(1+D82)^4*('DCF_PYPL'!$B$5*(1-'DCF_PYPL'!$B$6)+'DCF_PYPL'!$B$7-'DCF_PYPL'!$B$8)-'DCF_PYPL'!$B$3*(1+D82)^3*D82*'DCF_PYPL'!$B$9)/(1+'DCF_PYPL'!$B$10)^4+('DCF_PYPL'!$B$3*(1+D82)^5*('DCF_PYPL'!$B$5*(1-'DCF_PYPL'!$B$6)+'DCF_PYPL'!$B$7-'DCF_PYPL'!$B$8)-'DCF_PYPL'!$B$3*(1+D82)^4*D82*'DCF_PYPL'!$B$9)/(1+'DCF_PYPL'!$B$10)^5+('DCF_PYPL'!$B$3*(1+D82)^5*(1+'DCF_PYPL'!$B$11)*('DCF_PYPL'!$B$5*(1-'DCF_PYPL'!$B$6)+'DCF_PYPL'!$B$7-'DCF_PYPL'!$B$8)-'DCF_PYPL'!$B$3*(1+D82)^5*'DCF_PYPL'!$B$11*'DCF_PYPL'!$B$9)/('DCF_PYPL'!$B$10-'DCF_PYPL'!$B$11)/(1+'DCF_PYPL'!$B$10)^5-'DCF_PYPL'!$B$13)/'DCF_PYPL'!$B$12))</f>
        <v/>
      </c>
    </row>
    <row r="83" spans="1:5" x14ac:dyDescent="0.25">
      <c r="A83" s="4">
        <v>11</v>
      </c>
      <c r="B83" s="4" t="str">
        <f>IF($B$4="","",IF(E82&lt;$B$4,D82,B82))</f>
        <v/>
      </c>
      <c r="C83" s="4" t="str">
        <f>IF($B$4="","",IF(E82&lt;$B$4,C82,D82))</f>
        <v/>
      </c>
      <c r="D83" s="4" t="str">
        <f>IF($B$4="","",(B83+C83)/2)</f>
        <v/>
      </c>
      <c r="E83" s="4" t="str">
        <f>IF($B$4="","",((('DCF_PYPL'!$B$3*(1+D83)^1*('DCF_PYPL'!$B$5*(1-'DCF_PYPL'!$B$6)+'DCF_PYPL'!$B$7-'DCF_PYPL'!$B$8)-'DCF_PYPL'!$B$3*(1+D83)^0*D83*'DCF_PYPL'!$B$9)/(1+'DCF_PYPL'!$B$10)^1+('DCF_PYPL'!$B$3*(1+D83)^2*('DCF_PYPL'!$B$5*(1-'DCF_PYPL'!$B$6)+'DCF_PYPL'!$B$7-'DCF_PYPL'!$B$8)-'DCF_PYPL'!$B$3*(1+D83)^1*D83*'DCF_PYPL'!$B$9)/(1+'DCF_PYPL'!$B$10)^2+('DCF_PYPL'!$B$3*(1+D83)^3*('DCF_PYPL'!$B$5*(1-'DCF_PYPL'!$B$6)+'DCF_PYPL'!$B$7-'DCF_PYPL'!$B$8)-'DCF_PYPL'!$B$3*(1+D83)^2*D83*'DCF_PYPL'!$B$9)/(1+'DCF_PYPL'!$B$10)^3+('DCF_PYPL'!$B$3*(1+D83)^4*('DCF_PYPL'!$B$5*(1-'DCF_PYPL'!$B$6)+'DCF_PYPL'!$B$7-'DCF_PYPL'!$B$8)-'DCF_PYPL'!$B$3*(1+D83)^3*D83*'DCF_PYPL'!$B$9)/(1+'DCF_PYPL'!$B$10)^4+('DCF_PYPL'!$B$3*(1+D83)^5*('DCF_PYPL'!$B$5*(1-'DCF_PYPL'!$B$6)+'DCF_PYPL'!$B$7-'DCF_PYPL'!$B$8)-'DCF_PYPL'!$B$3*(1+D83)^4*D83*'DCF_PYPL'!$B$9)/(1+'DCF_PYPL'!$B$10)^5+('DCF_PYPL'!$B$3*(1+D83)^5*(1+'DCF_PYPL'!$B$11)*('DCF_PYPL'!$B$5*(1-'DCF_PYPL'!$B$6)+'DCF_PYPL'!$B$7-'DCF_PYPL'!$B$8)-'DCF_PYPL'!$B$3*(1+D83)^5*'DCF_PYPL'!$B$11*'DCF_PYPL'!$B$9)/('DCF_PYPL'!$B$10-'DCF_PYPL'!$B$11)/(1+'DCF_PYPL'!$B$10)^5-'DCF_PYPL'!$B$13)/'DCF_PYPL'!$B$12))</f>
        <v/>
      </c>
    </row>
    <row r="84" spans="1:5" x14ac:dyDescent="0.25">
      <c r="A84" s="4">
        <v>12</v>
      </c>
      <c r="B84" s="4" t="str">
        <f>IF($B$4="","",IF(E83&lt;$B$4,D83,B83))</f>
        <v/>
      </c>
      <c r="C84" s="4" t="str">
        <f>IF($B$4="","",IF(E83&lt;$B$4,C83,D83))</f>
        <v/>
      </c>
      <c r="D84" s="4" t="str">
        <f>IF($B$4="","",(B84+C84)/2)</f>
        <v/>
      </c>
      <c r="E84" s="4" t="str">
        <f>IF($B$4="","",((('DCF_PYPL'!$B$3*(1+D84)^1*('DCF_PYPL'!$B$5*(1-'DCF_PYPL'!$B$6)+'DCF_PYPL'!$B$7-'DCF_PYPL'!$B$8)-'DCF_PYPL'!$B$3*(1+D84)^0*D84*'DCF_PYPL'!$B$9)/(1+'DCF_PYPL'!$B$10)^1+('DCF_PYPL'!$B$3*(1+D84)^2*('DCF_PYPL'!$B$5*(1-'DCF_PYPL'!$B$6)+'DCF_PYPL'!$B$7-'DCF_PYPL'!$B$8)-'DCF_PYPL'!$B$3*(1+D84)^1*D84*'DCF_PYPL'!$B$9)/(1+'DCF_PYPL'!$B$10)^2+('DCF_PYPL'!$B$3*(1+D84)^3*('DCF_PYPL'!$B$5*(1-'DCF_PYPL'!$B$6)+'DCF_PYPL'!$B$7-'DCF_PYPL'!$B$8)-'DCF_PYPL'!$B$3*(1+D84)^2*D84*'DCF_PYPL'!$B$9)/(1+'DCF_PYPL'!$B$10)^3+('DCF_PYPL'!$B$3*(1+D84)^4*('DCF_PYPL'!$B$5*(1-'DCF_PYPL'!$B$6)+'DCF_PYPL'!$B$7-'DCF_PYPL'!$B$8)-'DCF_PYPL'!$B$3*(1+D84)^3*D84*'DCF_PYPL'!$B$9)/(1+'DCF_PYPL'!$B$10)^4+('DCF_PYPL'!$B$3*(1+D84)^5*('DCF_PYPL'!$B$5*(1-'DCF_PYPL'!$B$6)+'DCF_PYPL'!$B$7-'DCF_PYPL'!$B$8)-'DCF_PYPL'!$B$3*(1+D84)^4*D84*'DCF_PYPL'!$B$9)/(1+'DCF_PYPL'!$B$10)^5+('DCF_PYPL'!$B$3*(1+D84)^5*(1+'DCF_PYPL'!$B$11)*('DCF_PYPL'!$B$5*(1-'DCF_PYPL'!$B$6)+'DCF_PYPL'!$B$7-'DCF_PYPL'!$B$8)-'DCF_PYPL'!$B$3*(1+D84)^5*'DCF_PYPL'!$B$11*'DCF_PYPL'!$B$9)/('DCF_PYPL'!$B$10-'DCF_PYPL'!$B$11)/(1+'DCF_PYPL'!$B$10)^5-'DCF_PYPL'!$B$13)/'DCF_PYPL'!$B$12))</f>
        <v/>
      </c>
    </row>
    <row r="85" spans="1:5" x14ac:dyDescent="0.25">
      <c r="A85" s="4">
        <v>13</v>
      </c>
      <c r="B85" s="4" t="str">
        <f>IF($B$4="","",IF(E84&lt;$B$4,D84,B84))</f>
        <v/>
      </c>
      <c r="C85" s="4" t="str">
        <f>IF($B$4="","",IF(E84&lt;$B$4,C84,D84))</f>
        <v/>
      </c>
      <c r="D85" s="4" t="str">
        <f>IF($B$4="","",(B85+C85)/2)</f>
        <v/>
      </c>
      <c r="E85" s="4" t="str">
        <f>IF($B$4="","",((('DCF_PYPL'!$B$3*(1+D85)^1*('DCF_PYPL'!$B$5*(1-'DCF_PYPL'!$B$6)+'DCF_PYPL'!$B$7-'DCF_PYPL'!$B$8)-'DCF_PYPL'!$B$3*(1+D85)^0*D85*'DCF_PYPL'!$B$9)/(1+'DCF_PYPL'!$B$10)^1+('DCF_PYPL'!$B$3*(1+D85)^2*('DCF_PYPL'!$B$5*(1-'DCF_PYPL'!$B$6)+'DCF_PYPL'!$B$7-'DCF_PYPL'!$B$8)-'DCF_PYPL'!$B$3*(1+D85)^1*D85*'DCF_PYPL'!$B$9)/(1+'DCF_PYPL'!$B$10)^2+('DCF_PYPL'!$B$3*(1+D85)^3*('DCF_PYPL'!$B$5*(1-'DCF_PYPL'!$B$6)+'DCF_PYPL'!$B$7-'DCF_PYPL'!$B$8)-'DCF_PYPL'!$B$3*(1+D85)^2*D85*'DCF_PYPL'!$B$9)/(1+'DCF_PYPL'!$B$10)^3+('DCF_PYPL'!$B$3*(1+D85)^4*('DCF_PYPL'!$B$5*(1-'DCF_PYPL'!$B$6)+'DCF_PYPL'!$B$7-'DCF_PYPL'!$B$8)-'DCF_PYPL'!$B$3*(1+D85)^3*D85*'DCF_PYPL'!$B$9)/(1+'DCF_PYPL'!$B$10)^4+('DCF_PYPL'!$B$3*(1+D85)^5*('DCF_PYPL'!$B$5*(1-'DCF_PYPL'!$B$6)+'DCF_PYPL'!$B$7-'DCF_PYPL'!$B$8)-'DCF_PYPL'!$B$3*(1+D85)^4*D85*'DCF_PYPL'!$B$9)/(1+'DCF_PYPL'!$B$10)^5+('DCF_PYPL'!$B$3*(1+D85)^5*(1+'DCF_PYPL'!$B$11)*('DCF_PYPL'!$B$5*(1-'DCF_PYPL'!$B$6)+'DCF_PYPL'!$B$7-'DCF_PYPL'!$B$8)-'DCF_PYPL'!$B$3*(1+D85)^5*'DCF_PYPL'!$B$11*'DCF_PYPL'!$B$9)/('DCF_PYPL'!$B$10-'DCF_PYPL'!$B$11)/(1+'DCF_PYPL'!$B$10)^5-'DCF_PYPL'!$B$13)/'DCF_PYPL'!$B$12))</f>
        <v/>
      </c>
    </row>
    <row r="86" spans="1:5" x14ac:dyDescent="0.25">
      <c r="A86" s="4">
        <v>14</v>
      </c>
      <c r="B86" s="4" t="str">
        <f>IF($B$4="","",IF(E85&lt;$B$4,D85,B85))</f>
        <v/>
      </c>
      <c r="C86" s="4" t="str">
        <f>IF($B$4="","",IF(E85&lt;$B$4,C85,D85))</f>
        <v/>
      </c>
      <c r="D86" s="4" t="str">
        <f>IF($B$4="","",(B86+C86)/2)</f>
        <v/>
      </c>
      <c r="E86" s="4" t="str">
        <f>IF($B$4="","",((('DCF_PYPL'!$B$3*(1+D86)^1*('DCF_PYPL'!$B$5*(1-'DCF_PYPL'!$B$6)+'DCF_PYPL'!$B$7-'DCF_PYPL'!$B$8)-'DCF_PYPL'!$B$3*(1+D86)^0*D86*'DCF_PYPL'!$B$9)/(1+'DCF_PYPL'!$B$10)^1+('DCF_PYPL'!$B$3*(1+D86)^2*('DCF_PYPL'!$B$5*(1-'DCF_PYPL'!$B$6)+'DCF_PYPL'!$B$7-'DCF_PYPL'!$B$8)-'DCF_PYPL'!$B$3*(1+D86)^1*D86*'DCF_PYPL'!$B$9)/(1+'DCF_PYPL'!$B$10)^2+('DCF_PYPL'!$B$3*(1+D86)^3*('DCF_PYPL'!$B$5*(1-'DCF_PYPL'!$B$6)+'DCF_PYPL'!$B$7-'DCF_PYPL'!$B$8)-'DCF_PYPL'!$B$3*(1+D86)^2*D86*'DCF_PYPL'!$B$9)/(1+'DCF_PYPL'!$B$10)^3+('DCF_PYPL'!$B$3*(1+D86)^4*('DCF_PYPL'!$B$5*(1-'DCF_PYPL'!$B$6)+'DCF_PYPL'!$B$7-'DCF_PYPL'!$B$8)-'DCF_PYPL'!$B$3*(1+D86)^3*D86*'DCF_PYPL'!$B$9)/(1+'DCF_PYPL'!$B$10)^4+('DCF_PYPL'!$B$3*(1+D86)^5*('DCF_PYPL'!$B$5*(1-'DCF_PYPL'!$B$6)+'DCF_PYPL'!$B$7-'DCF_PYPL'!$B$8)-'DCF_PYPL'!$B$3*(1+D86)^4*D86*'DCF_PYPL'!$B$9)/(1+'DCF_PYPL'!$B$10)^5+('DCF_PYPL'!$B$3*(1+D86)^5*(1+'DCF_PYPL'!$B$11)*('DCF_PYPL'!$B$5*(1-'DCF_PYPL'!$B$6)+'DCF_PYPL'!$B$7-'DCF_PYPL'!$B$8)-'DCF_PYPL'!$B$3*(1+D86)^5*'DCF_PYPL'!$B$11*'DCF_PYPL'!$B$9)/('DCF_PYPL'!$B$10-'DCF_PYPL'!$B$11)/(1+'DCF_PYPL'!$B$10)^5-'DCF_PYPL'!$B$13)/'DCF_PYPL'!$B$12))</f>
        <v/>
      </c>
    </row>
    <row r="87" spans="1:5" x14ac:dyDescent="0.25">
      <c r="A87" s="4">
        <v>15</v>
      </c>
      <c r="B87" s="4" t="str">
        <f>IF($B$4="","",IF(E86&lt;$B$4,D86,B86))</f>
        <v/>
      </c>
      <c r="C87" s="4" t="str">
        <f>IF($B$4="","",IF(E86&lt;$B$4,C86,D86))</f>
        <v/>
      </c>
      <c r="D87" s="4" t="str">
        <f>IF($B$4="","",(B87+C87)/2)</f>
        <v/>
      </c>
      <c r="E87" s="4" t="str">
        <f>IF($B$4="","",((('DCF_PYPL'!$B$3*(1+D87)^1*('DCF_PYPL'!$B$5*(1-'DCF_PYPL'!$B$6)+'DCF_PYPL'!$B$7-'DCF_PYPL'!$B$8)-'DCF_PYPL'!$B$3*(1+D87)^0*D87*'DCF_PYPL'!$B$9)/(1+'DCF_PYPL'!$B$10)^1+('DCF_PYPL'!$B$3*(1+D87)^2*('DCF_PYPL'!$B$5*(1-'DCF_PYPL'!$B$6)+'DCF_PYPL'!$B$7-'DCF_PYPL'!$B$8)-'DCF_PYPL'!$B$3*(1+D87)^1*D87*'DCF_PYPL'!$B$9)/(1+'DCF_PYPL'!$B$10)^2+('DCF_PYPL'!$B$3*(1+D87)^3*('DCF_PYPL'!$B$5*(1-'DCF_PYPL'!$B$6)+'DCF_PYPL'!$B$7-'DCF_PYPL'!$B$8)-'DCF_PYPL'!$B$3*(1+D87)^2*D87*'DCF_PYPL'!$B$9)/(1+'DCF_PYPL'!$B$10)^3+('DCF_PYPL'!$B$3*(1+D87)^4*('DCF_PYPL'!$B$5*(1-'DCF_PYPL'!$B$6)+'DCF_PYPL'!$B$7-'DCF_PYPL'!$B$8)-'DCF_PYPL'!$B$3*(1+D87)^3*D87*'DCF_PYPL'!$B$9)/(1+'DCF_PYPL'!$B$10)^4+('DCF_PYPL'!$B$3*(1+D87)^5*('DCF_PYPL'!$B$5*(1-'DCF_PYPL'!$B$6)+'DCF_PYPL'!$B$7-'DCF_PYPL'!$B$8)-'DCF_PYPL'!$B$3*(1+D87)^4*D87*'DCF_PYPL'!$B$9)/(1+'DCF_PYPL'!$B$10)^5+('DCF_PYPL'!$B$3*(1+D87)^5*(1+'DCF_PYPL'!$B$11)*('DCF_PYPL'!$B$5*(1-'DCF_PYPL'!$B$6)+'DCF_PYPL'!$B$7-'DCF_PYPL'!$B$8)-'DCF_PYPL'!$B$3*(1+D87)^5*'DCF_PYPL'!$B$11*'DCF_PYPL'!$B$9)/('DCF_PYPL'!$B$10-'DCF_PYPL'!$B$11)/(1+'DCF_PYPL'!$B$10)^5-'DCF_PYPL'!$B$13)/'DCF_PYPL'!$B$12))</f>
        <v/>
      </c>
    </row>
    <row r="88" spans="1:5" x14ac:dyDescent="0.25">
      <c r="A88" s="4">
        <v>16</v>
      </c>
      <c r="B88" s="4" t="str">
        <f>IF($B$4="","",IF(E87&lt;$B$4,D87,B87))</f>
        <v/>
      </c>
      <c r="C88" s="4" t="str">
        <f>IF($B$4="","",IF(E87&lt;$B$4,C87,D87))</f>
        <v/>
      </c>
      <c r="D88" s="4" t="str">
        <f>IF($B$4="","",(B88+C88)/2)</f>
        <v/>
      </c>
      <c r="E88" s="4" t="str">
        <f>IF($B$4="","",((('DCF_PYPL'!$B$3*(1+D88)^1*('DCF_PYPL'!$B$5*(1-'DCF_PYPL'!$B$6)+'DCF_PYPL'!$B$7-'DCF_PYPL'!$B$8)-'DCF_PYPL'!$B$3*(1+D88)^0*D88*'DCF_PYPL'!$B$9)/(1+'DCF_PYPL'!$B$10)^1+('DCF_PYPL'!$B$3*(1+D88)^2*('DCF_PYPL'!$B$5*(1-'DCF_PYPL'!$B$6)+'DCF_PYPL'!$B$7-'DCF_PYPL'!$B$8)-'DCF_PYPL'!$B$3*(1+D88)^1*D88*'DCF_PYPL'!$B$9)/(1+'DCF_PYPL'!$B$10)^2+('DCF_PYPL'!$B$3*(1+D88)^3*('DCF_PYPL'!$B$5*(1-'DCF_PYPL'!$B$6)+'DCF_PYPL'!$B$7-'DCF_PYPL'!$B$8)-'DCF_PYPL'!$B$3*(1+D88)^2*D88*'DCF_PYPL'!$B$9)/(1+'DCF_PYPL'!$B$10)^3+('DCF_PYPL'!$B$3*(1+D88)^4*('DCF_PYPL'!$B$5*(1-'DCF_PYPL'!$B$6)+'DCF_PYPL'!$B$7-'DCF_PYPL'!$B$8)-'DCF_PYPL'!$B$3*(1+D88)^3*D88*'DCF_PYPL'!$B$9)/(1+'DCF_PYPL'!$B$10)^4+('DCF_PYPL'!$B$3*(1+D88)^5*('DCF_PYPL'!$B$5*(1-'DCF_PYPL'!$B$6)+'DCF_PYPL'!$B$7-'DCF_PYPL'!$B$8)-'DCF_PYPL'!$B$3*(1+D88)^4*D88*'DCF_PYPL'!$B$9)/(1+'DCF_PYPL'!$B$10)^5+('DCF_PYPL'!$B$3*(1+D88)^5*(1+'DCF_PYPL'!$B$11)*('DCF_PYPL'!$B$5*(1-'DCF_PYPL'!$B$6)+'DCF_PYPL'!$B$7-'DCF_PYPL'!$B$8)-'DCF_PYPL'!$B$3*(1+D88)^5*'DCF_PYPL'!$B$11*'DCF_PYPL'!$B$9)/('DCF_PYPL'!$B$10-'DCF_PYPL'!$B$11)/(1+'DCF_PYPL'!$B$10)^5-'DCF_PYPL'!$B$13)/'DCF_PYPL'!$B$12))</f>
        <v/>
      </c>
    </row>
    <row r="89" spans="1:5" x14ac:dyDescent="0.25">
      <c r="A89" s="4">
        <v>17</v>
      </c>
      <c r="B89" s="4" t="str">
        <f>IF($B$4="","",IF(E88&lt;$B$4,D88,B88))</f>
        <v/>
      </c>
      <c r="C89" s="4" t="str">
        <f>IF($B$4="","",IF(E88&lt;$B$4,C88,D88))</f>
        <v/>
      </c>
      <c r="D89" s="4" t="str">
        <f>IF($B$4="","",(B89+C89)/2)</f>
        <v/>
      </c>
      <c r="E89" s="4" t="str">
        <f>IF($B$4="","",((('DCF_PYPL'!$B$3*(1+D89)^1*('DCF_PYPL'!$B$5*(1-'DCF_PYPL'!$B$6)+'DCF_PYPL'!$B$7-'DCF_PYPL'!$B$8)-'DCF_PYPL'!$B$3*(1+D89)^0*D89*'DCF_PYPL'!$B$9)/(1+'DCF_PYPL'!$B$10)^1+('DCF_PYPL'!$B$3*(1+D89)^2*('DCF_PYPL'!$B$5*(1-'DCF_PYPL'!$B$6)+'DCF_PYPL'!$B$7-'DCF_PYPL'!$B$8)-'DCF_PYPL'!$B$3*(1+D89)^1*D89*'DCF_PYPL'!$B$9)/(1+'DCF_PYPL'!$B$10)^2+('DCF_PYPL'!$B$3*(1+D89)^3*('DCF_PYPL'!$B$5*(1-'DCF_PYPL'!$B$6)+'DCF_PYPL'!$B$7-'DCF_PYPL'!$B$8)-'DCF_PYPL'!$B$3*(1+D89)^2*D89*'DCF_PYPL'!$B$9)/(1+'DCF_PYPL'!$B$10)^3+('DCF_PYPL'!$B$3*(1+D89)^4*('DCF_PYPL'!$B$5*(1-'DCF_PYPL'!$B$6)+'DCF_PYPL'!$B$7-'DCF_PYPL'!$B$8)-'DCF_PYPL'!$B$3*(1+D89)^3*D89*'DCF_PYPL'!$B$9)/(1+'DCF_PYPL'!$B$10)^4+('DCF_PYPL'!$B$3*(1+D89)^5*('DCF_PYPL'!$B$5*(1-'DCF_PYPL'!$B$6)+'DCF_PYPL'!$B$7-'DCF_PYPL'!$B$8)-'DCF_PYPL'!$B$3*(1+D89)^4*D89*'DCF_PYPL'!$B$9)/(1+'DCF_PYPL'!$B$10)^5+('DCF_PYPL'!$B$3*(1+D89)^5*(1+'DCF_PYPL'!$B$11)*('DCF_PYPL'!$B$5*(1-'DCF_PYPL'!$B$6)+'DCF_PYPL'!$B$7-'DCF_PYPL'!$B$8)-'DCF_PYPL'!$B$3*(1+D89)^5*'DCF_PYPL'!$B$11*'DCF_PYPL'!$B$9)/('DCF_PYPL'!$B$10-'DCF_PYPL'!$B$11)/(1+'DCF_PYPL'!$B$10)^5-'DCF_PYPL'!$B$13)/'DCF_PYPL'!$B$12))</f>
        <v/>
      </c>
    </row>
    <row r="90" spans="1:5" x14ac:dyDescent="0.25">
      <c r="A90" s="4">
        <v>18</v>
      </c>
      <c r="B90" s="4" t="str">
        <f>IF($B$4="","",IF(E89&lt;$B$4,D89,B89))</f>
        <v/>
      </c>
      <c r="C90" s="4" t="str">
        <f>IF($B$4="","",IF(E89&lt;$B$4,C89,D89))</f>
        <v/>
      </c>
      <c r="D90" s="4" t="str">
        <f>IF($B$4="","",(B90+C90)/2)</f>
        <v/>
      </c>
      <c r="E90" s="4" t="str">
        <f>IF($B$4="","",((('DCF_PYPL'!$B$3*(1+D90)^1*('DCF_PYPL'!$B$5*(1-'DCF_PYPL'!$B$6)+'DCF_PYPL'!$B$7-'DCF_PYPL'!$B$8)-'DCF_PYPL'!$B$3*(1+D90)^0*D90*'DCF_PYPL'!$B$9)/(1+'DCF_PYPL'!$B$10)^1+('DCF_PYPL'!$B$3*(1+D90)^2*('DCF_PYPL'!$B$5*(1-'DCF_PYPL'!$B$6)+'DCF_PYPL'!$B$7-'DCF_PYPL'!$B$8)-'DCF_PYPL'!$B$3*(1+D90)^1*D90*'DCF_PYPL'!$B$9)/(1+'DCF_PYPL'!$B$10)^2+('DCF_PYPL'!$B$3*(1+D90)^3*('DCF_PYPL'!$B$5*(1-'DCF_PYPL'!$B$6)+'DCF_PYPL'!$B$7-'DCF_PYPL'!$B$8)-'DCF_PYPL'!$B$3*(1+D90)^2*D90*'DCF_PYPL'!$B$9)/(1+'DCF_PYPL'!$B$10)^3+('DCF_PYPL'!$B$3*(1+D90)^4*('DCF_PYPL'!$B$5*(1-'DCF_PYPL'!$B$6)+'DCF_PYPL'!$B$7-'DCF_PYPL'!$B$8)-'DCF_PYPL'!$B$3*(1+D90)^3*D90*'DCF_PYPL'!$B$9)/(1+'DCF_PYPL'!$B$10)^4+('DCF_PYPL'!$B$3*(1+D90)^5*('DCF_PYPL'!$B$5*(1-'DCF_PYPL'!$B$6)+'DCF_PYPL'!$B$7-'DCF_PYPL'!$B$8)-'DCF_PYPL'!$B$3*(1+D90)^4*D90*'DCF_PYPL'!$B$9)/(1+'DCF_PYPL'!$B$10)^5+('DCF_PYPL'!$B$3*(1+D90)^5*(1+'DCF_PYPL'!$B$11)*('DCF_PYPL'!$B$5*(1-'DCF_PYPL'!$B$6)+'DCF_PYPL'!$B$7-'DCF_PYPL'!$B$8)-'DCF_PYPL'!$B$3*(1+D90)^5*'DCF_PYPL'!$B$11*'DCF_PYPL'!$B$9)/('DCF_PYPL'!$B$10-'DCF_PYPL'!$B$11)/(1+'DCF_PYPL'!$B$10)^5-'DCF_PYPL'!$B$13)/'DCF_PYPL'!$B$12))</f>
        <v/>
      </c>
    </row>
    <row r="91" spans="1:5" x14ac:dyDescent="0.25">
      <c r="A91" s="4">
        <v>19</v>
      </c>
      <c r="B91" s="4" t="str">
        <f>IF($B$4="","",IF(E90&lt;$B$4,D90,B90))</f>
        <v/>
      </c>
      <c r="C91" s="4" t="str">
        <f>IF($B$4="","",IF(E90&lt;$B$4,C90,D90))</f>
        <v/>
      </c>
      <c r="D91" s="4" t="str">
        <f>IF($B$4="","",(B91+C91)/2)</f>
        <v/>
      </c>
      <c r="E91" s="4" t="str">
        <f>IF($B$4="","",((('DCF_PYPL'!$B$3*(1+D91)^1*('DCF_PYPL'!$B$5*(1-'DCF_PYPL'!$B$6)+'DCF_PYPL'!$B$7-'DCF_PYPL'!$B$8)-'DCF_PYPL'!$B$3*(1+D91)^0*D91*'DCF_PYPL'!$B$9)/(1+'DCF_PYPL'!$B$10)^1+('DCF_PYPL'!$B$3*(1+D91)^2*('DCF_PYPL'!$B$5*(1-'DCF_PYPL'!$B$6)+'DCF_PYPL'!$B$7-'DCF_PYPL'!$B$8)-'DCF_PYPL'!$B$3*(1+D91)^1*D91*'DCF_PYPL'!$B$9)/(1+'DCF_PYPL'!$B$10)^2+('DCF_PYPL'!$B$3*(1+D91)^3*('DCF_PYPL'!$B$5*(1-'DCF_PYPL'!$B$6)+'DCF_PYPL'!$B$7-'DCF_PYPL'!$B$8)-'DCF_PYPL'!$B$3*(1+D91)^2*D91*'DCF_PYPL'!$B$9)/(1+'DCF_PYPL'!$B$10)^3+('DCF_PYPL'!$B$3*(1+D91)^4*('DCF_PYPL'!$B$5*(1-'DCF_PYPL'!$B$6)+'DCF_PYPL'!$B$7-'DCF_PYPL'!$B$8)-'DCF_PYPL'!$B$3*(1+D91)^3*D91*'DCF_PYPL'!$B$9)/(1+'DCF_PYPL'!$B$10)^4+('DCF_PYPL'!$B$3*(1+D91)^5*('DCF_PYPL'!$B$5*(1-'DCF_PYPL'!$B$6)+'DCF_PYPL'!$B$7-'DCF_PYPL'!$B$8)-'DCF_PYPL'!$B$3*(1+D91)^4*D91*'DCF_PYPL'!$B$9)/(1+'DCF_PYPL'!$B$10)^5+('DCF_PYPL'!$B$3*(1+D91)^5*(1+'DCF_PYPL'!$B$11)*('DCF_PYPL'!$B$5*(1-'DCF_PYPL'!$B$6)+'DCF_PYPL'!$B$7-'DCF_PYPL'!$B$8)-'DCF_PYPL'!$B$3*(1+D91)^5*'DCF_PYPL'!$B$11*'DCF_PYPL'!$B$9)/('DCF_PYPL'!$B$10-'DCF_PYPL'!$B$11)/(1+'DCF_PYPL'!$B$10)^5-'DCF_PYPL'!$B$13)/'DCF_PYPL'!$B$12))</f>
        <v/>
      </c>
    </row>
    <row r="92" spans="1:5" x14ac:dyDescent="0.25">
      <c r="A92" s="4">
        <v>20</v>
      </c>
      <c r="B92" s="4" t="str">
        <f>IF($B$4="","",IF(E91&lt;$B$4,D91,B91))</f>
        <v/>
      </c>
      <c r="C92" s="4" t="str">
        <f>IF($B$4="","",IF(E91&lt;$B$4,C91,D91))</f>
        <v/>
      </c>
      <c r="D92" s="4" t="str">
        <f>IF($B$4="","",(B92+C92)/2)</f>
        <v/>
      </c>
      <c r="E92" s="4" t="str">
        <f>IF($B$4="","",((('DCF_PYPL'!$B$3*(1+D92)^1*('DCF_PYPL'!$B$5*(1-'DCF_PYPL'!$B$6)+'DCF_PYPL'!$B$7-'DCF_PYPL'!$B$8)-'DCF_PYPL'!$B$3*(1+D92)^0*D92*'DCF_PYPL'!$B$9)/(1+'DCF_PYPL'!$B$10)^1+('DCF_PYPL'!$B$3*(1+D92)^2*('DCF_PYPL'!$B$5*(1-'DCF_PYPL'!$B$6)+'DCF_PYPL'!$B$7-'DCF_PYPL'!$B$8)-'DCF_PYPL'!$B$3*(1+D92)^1*D92*'DCF_PYPL'!$B$9)/(1+'DCF_PYPL'!$B$10)^2+('DCF_PYPL'!$B$3*(1+D92)^3*('DCF_PYPL'!$B$5*(1-'DCF_PYPL'!$B$6)+'DCF_PYPL'!$B$7-'DCF_PYPL'!$B$8)-'DCF_PYPL'!$B$3*(1+D92)^2*D92*'DCF_PYPL'!$B$9)/(1+'DCF_PYPL'!$B$10)^3+('DCF_PYPL'!$B$3*(1+D92)^4*('DCF_PYPL'!$B$5*(1-'DCF_PYPL'!$B$6)+'DCF_PYPL'!$B$7-'DCF_PYPL'!$B$8)-'DCF_PYPL'!$B$3*(1+D92)^3*D92*'DCF_PYPL'!$B$9)/(1+'DCF_PYPL'!$B$10)^4+('DCF_PYPL'!$B$3*(1+D92)^5*('DCF_PYPL'!$B$5*(1-'DCF_PYPL'!$B$6)+'DCF_PYPL'!$B$7-'DCF_PYPL'!$B$8)-'DCF_PYPL'!$B$3*(1+D92)^4*D92*'DCF_PYPL'!$B$9)/(1+'DCF_PYPL'!$B$10)^5+('DCF_PYPL'!$B$3*(1+D92)^5*(1+'DCF_PYPL'!$B$11)*('DCF_PYPL'!$B$5*(1-'DCF_PYPL'!$B$6)+'DCF_PYPL'!$B$7-'DCF_PYPL'!$B$8)-'DCF_PYPL'!$B$3*(1+D92)^5*'DCF_PYPL'!$B$11*'DCF_PYPL'!$B$9)/('DCF_PYPL'!$B$10-'DCF_PYPL'!$B$11)/(1+'DCF_PYPL'!$B$10)^5-'DCF_PYPL'!$B$13)/'DCF_PYPL'!$B$12))</f>
        <v/>
      </c>
    </row>
    <row r="93" spans="1:5" x14ac:dyDescent="0.25">
      <c r="A93" s="4">
        <v>21</v>
      </c>
      <c r="B93" s="4" t="str">
        <f>IF($B$4="","",IF(E92&lt;$B$4,D92,B92))</f>
        <v/>
      </c>
      <c r="C93" s="4" t="str">
        <f>IF($B$4="","",IF(E92&lt;$B$4,C92,D92))</f>
        <v/>
      </c>
      <c r="D93" s="4" t="str">
        <f>IF($B$4="","",(B93+C93)/2)</f>
        <v/>
      </c>
      <c r="E93" s="4" t="str">
        <f>IF($B$4="","",((('DCF_PYPL'!$B$3*(1+D93)^1*('DCF_PYPL'!$B$5*(1-'DCF_PYPL'!$B$6)+'DCF_PYPL'!$B$7-'DCF_PYPL'!$B$8)-'DCF_PYPL'!$B$3*(1+D93)^0*D93*'DCF_PYPL'!$B$9)/(1+'DCF_PYPL'!$B$10)^1+('DCF_PYPL'!$B$3*(1+D93)^2*('DCF_PYPL'!$B$5*(1-'DCF_PYPL'!$B$6)+'DCF_PYPL'!$B$7-'DCF_PYPL'!$B$8)-'DCF_PYPL'!$B$3*(1+D93)^1*D93*'DCF_PYPL'!$B$9)/(1+'DCF_PYPL'!$B$10)^2+('DCF_PYPL'!$B$3*(1+D93)^3*('DCF_PYPL'!$B$5*(1-'DCF_PYPL'!$B$6)+'DCF_PYPL'!$B$7-'DCF_PYPL'!$B$8)-'DCF_PYPL'!$B$3*(1+D93)^2*D93*'DCF_PYPL'!$B$9)/(1+'DCF_PYPL'!$B$10)^3+('DCF_PYPL'!$B$3*(1+D93)^4*('DCF_PYPL'!$B$5*(1-'DCF_PYPL'!$B$6)+'DCF_PYPL'!$B$7-'DCF_PYPL'!$B$8)-'DCF_PYPL'!$B$3*(1+D93)^3*D93*'DCF_PYPL'!$B$9)/(1+'DCF_PYPL'!$B$10)^4+('DCF_PYPL'!$B$3*(1+D93)^5*('DCF_PYPL'!$B$5*(1-'DCF_PYPL'!$B$6)+'DCF_PYPL'!$B$7-'DCF_PYPL'!$B$8)-'DCF_PYPL'!$B$3*(1+D93)^4*D93*'DCF_PYPL'!$B$9)/(1+'DCF_PYPL'!$B$10)^5+('DCF_PYPL'!$B$3*(1+D93)^5*(1+'DCF_PYPL'!$B$11)*('DCF_PYPL'!$B$5*(1-'DCF_PYPL'!$B$6)+'DCF_PYPL'!$B$7-'DCF_PYPL'!$B$8)-'DCF_PYPL'!$B$3*(1+D93)^5*'DCF_PYPL'!$B$11*'DCF_PYPL'!$B$9)/('DCF_PYPL'!$B$10-'DCF_PYPL'!$B$11)/(1+'DCF_PYPL'!$B$10)^5-'DCF_PYPL'!$B$13)/'DCF_PYPL'!$B$12))</f>
        <v/>
      </c>
    </row>
    <row r="94" spans="1:5" x14ac:dyDescent="0.25">
      <c r="A94" s="4">
        <v>22</v>
      </c>
      <c r="B94" s="4" t="str">
        <f>IF($B$4="","",IF(E93&lt;$B$4,D93,B93))</f>
        <v/>
      </c>
      <c r="C94" s="4" t="str">
        <f>IF($B$4="","",IF(E93&lt;$B$4,C93,D93))</f>
        <v/>
      </c>
      <c r="D94" s="4" t="str">
        <f>IF($B$4="","",(B94+C94)/2)</f>
        <v/>
      </c>
      <c r="E94" s="4" t="str">
        <f>IF($B$4="","",((('DCF_PYPL'!$B$3*(1+D94)^1*('DCF_PYPL'!$B$5*(1-'DCF_PYPL'!$B$6)+'DCF_PYPL'!$B$7-'DCF_PYPL'!$B$8)-'DCF_PYPL'!$B$3*(1+D94)^0*D94*'DCF_PYPL'!$B$9)/(1+'DCF_PYPL'!$B$10)^1+('DCF_PYPL'!$B$3*(1+D94)^2*('DCF_PYPL'!$B$5*(1-'DCF_PYPL'!$B$6)+'DCF_PYPL'!$B$7-'DCF_PYPL'!$B$8)-'DCF_PYPL'!$B$3*(1+D94)^1*D94*'DCF_PYPL'!$B$9)/(1+'DCF_PYPL'!$B$10)^2+('DCF_PYPL'!$B$3*(1+D94)^3*('DCF_PYPL'!$B$5*(1-'DCF_PYPL'!$B$6)+'DCF_PYPL'!$B$7-'DCF_PYPL'!$B$8)-'DCF_PYPL'!$B$3*(1+D94)^2*D94*'DCF_PYPL'!$B$9)/(1+'DCF_PYPL'!$B$10)^3+('DCF_PYPL'!$B$3*(1+D94)^4*('DCF_PYPL'!$B$5*(1-'DCF_PYPL'!$B$6)+'DCF_PYPL'!$B$7-'DCF_PYPL'!$B$8)-'DCF_PYPL'!$B$3*(1+D94)^3*D94*'DCF_PYPL'!$B$9)/(1+'DCF_PYPL'!$B$10)^4+('DCF_PYPL'!$B$3*(1+D94)^5*('DCF_PYPL'!$B$5*(1-'DCF_PYPL'!$B$6)+'DCF_PYPL'!$B$7-'DCF_PYPL'!$B$8)-'DCF_PYPL'!$B$3*(1+D94)^4*D94*'DCF_PYPL'!$B$9)/(1+'DCF_PYPL'!$B$10)^5+('DCF_PYPL'!$B$3*(1+D94)^5*(1+'DCF_PYPL'!$B$11)*('DCF_PYPL'!$B$5*(1-'DCF_PYPL'!$B$6)+'DCF_PYPL'!$B$7-'DCF_PYPL'!$B$8)-'DCF_PYPL'!$B$3*(1+D94)^5*'DCF_PYPL'!$B$11*'DCF_PYPL'!$B$9)/('DCF_PYPL'!$B$10-'DCF_PYPL'!$B$11)/(1+'DCF_PYPL'!$B$10)^5-'DCF_PYPL'!$B$13)/'DCF_PYPL'!$B$12))</f>
        <v/>
      </c>
    </row>
    <row r="95" spans="1:5" x14ac:dyDescent="0.25">
      <c r="A95" s="4">
        <v>23</v>
      </c>
      <c r="B95" s="4" t="str">
        <f>IF($B$4="","",IF(E94&lt;$B$4,D94,B94))</f>
        <v/>
      </c>
      <c r="C95" s="4" t="str">
        <f>IF($B$4="","",IF(E94&lt;$B$4,C94,D94))</f>
        <v/>
      </c>
      <c r="D95" s="4" t="str">
        <f>IF($B$4="","",(B95+C95)/2)</f>
        <v/>
      </c>
      <c r="E95" s="4" t="str">
        <f>IF($B$4="","",((('DCF_PYPL'!$B$3*(1+D95)^1*('DCF_PYPL'!$B$5*(1-'DCF_PYPL'!$B$6)+'DCF_PYPL'!$B$7-'DCF_PYPL'!$B$8)-'DCF_PYPL'!$B$3*(1+D95)^0*D95*'DCF_PYPL'!$B$9)/(1+'DCF_PYPL'!$B$10)^1+('DCF_PYPL'!$B$3*(1+D95)^2*('DCF_PYPL'!$B$5*(1-'DCF_PYPL'!$B$6)+'DCF_PYPL'!$B$7-'DCF_PYPL'!$B$8)-'DCF_PYPL'!$B$3*(1+D95)^1*D95*'DCF_PYPL'!$B$9)/(1+'DCF_PYPL'!$B$10)^2+('DCF_PYPL'!$B$3*(1+D95)^3*('DCF_PYPL'!$B$5*(1-'DCF_PYPL'!$B$6)+'DCF_PYPL'!$B$7-'DCF_PYPL'!$B$8)-'DCF_PYPL'!$B$3*(1+D95)^2*D95*'DCF_PYPL'!$B$9)/(1+'DCF_PYPL'!$B$10)^3+('DCF_PYPL'!$B$3*(1+D95)^4*('DCF_PYPL'!$B$5*(1-'DCF_PYPL'!$B$6)+'DCF_PYPL'!$B$7-'DCF_PYPL'!$B$8)-'DCF_PYPL'!$B$3*(1+D95)^3*D95*'DCF_PYPL'!$B$9)/(1+'DCF_PYPL'!$B$10)^4+('DCF_PYPL'!$B$3*(1+D95)^5*('DCF_PYPL'!$B$5*(1-'DCF_PYPL'!$B$6)+'DCF_PYPL'!$B$7-'DCF_PYPL'!$B$8)-'DCF_PYPL'!$B$3*(1+D95)^4*D95*'DCF_PYPL'!$B$9)/(1+'DCF_PYPL'!$B$10)^5+('DCF_PYPL'!$B$3*(1+D95)^5*(1+'DCF_PYPL'!$B$11)*('DCF_PYPL'!$B$5*(1-'DCF_PYPL'!$B$6)+'DCF_PYPL'!$B$7-'DCF_PYPL'!$B$8)-'DCF_PYPL'!$B$3*(1+D95)^5*'DCF_PYPL'!$B$11*'DCF_PYPL'!$B$9)/('DCF_PYPL'!$B$10-'DCF_PYPL'!$B$11)/(1+'DCF_PYPL'!$B$10)^5-'DCF_PYPL'!$B$13)/'DCF_PYPL'!$B$12))</f>
        <v/>
      </c>
    </row>
    <row r="96" spans="1:5" x14ac:dyDescent="0.25">
      <c r="A96" s="4">
        <v>24</v>
      </c>
      <c r="B96" s="4" t="str">
        <f>IF($B$4="","",IF(E95&lt;$B$4,D95,B95))</f>
        <v/>
      </c>
      <c r="C96" s="4" t="str">
        <f>IF($B$4="","",IF(E95&lt;$B$4,C95,D95))</f>
        <v/>
      </c>
      <c r="D96" s="4" t="str">
        <f>IF($B$4="","",(B96+C96)/2)</f>
        <v/>
      </c>
      <c r="E96" s="4" t="str">
        <f>IF($B$4="","",((('DCF_PYPL'!$B$3*(1+D96)^1*('DCF_PYPL'!$B$5*(1-'DCF_PYPL'!$B$6)+'DCF_PYPL'!$B$7-'DCF_PYPL'!$B$8)-'DCF_PYPL'!$B$3*(1+D96)^0*D96*'DCF_PYPL'!$B$9)/(1+'DCF_PYPL'!$B$10)^1+('DCF_PYPL'!$B$3*(1+D96)^2*('DCF_PYPL'!$B$5*(1-'DCF_PYPL'!$B$6)+'DCF_PYPL'!$B$7-'DCF_PYPL'!$B$8)-'DCF_PYPL'!$B$3*(1+D96)^1*D96*'DCF_PYPL'!$B$9)/(1+'DCF_PYPL'!$B$10)^2+('DCF_PYPL'!$B$3*(1+D96)^3*('DCF_PYPL'!$B$5*(1-'DCF_PYPL'!$B$6)+'DCF_PYPL'!$B$7-'DCF_PYPL'!$B$8)-'DCF_PYPL'!$B$3*(1+D96)^2*D96*'DCF_PYPL'!$B$9)/(1+'DCF_PYPL'!$B$10)^3+('DCF_PYPL'!$B$3*(1+D96)^4*('DCF_PYPL'!$B$5*(1-'DCF_PYPL'!$B$6)+'DCF_PYPL'!$B$7-'DCF_PYPL'!$B$8)-'DCF_PYPL'!$B$3*(1+D96)^3*D96*'DCF_PYPL'!$B$9)/(1+'DCF_PYPL'!$B$10)^4+('DCF_PYPL'!$B$3*(1+D96)^5*('DCF_PYPL'!$B$5*(1-'DCF_PYPL'!$B$6)+'DCF_PYPL'!$B$7-'DCF_PYPL'!$B$8)-'DCF_PYPL'!$B$3*(1+D96)^4*D96*'DCF_PYPL'!$B$9)/(1+'DCF_PYPL'!$B$10)^5+('DCF_PYPL'!$B$3*(1+D96)^5*(1+'DCF_PYPL'!$B$11)*('DCF_PYPL'!$B$5*(1-'DCF_PYPL'!$B$6)+'DCF_PYPL'!$B$7-'DCF_PYPL'!$B$8)-'DCF_PYPL'!$B$3*(1+D96)^5*'DCF_PYPL'!$B$11*'DCF_PYPL'!$B$9)/('DCF_PYPL'!$B$10-'DCF_PYPL'!$B$11)/(1+'DCF_PYPL'!$B$10)^5-'DCF_PYPL'!$B$13)/'DCF_PYPL'!$B$12))</f>
        <v/>
      </c>
    </row>
    <row r="97" spans="1:5" x14ac:dyDescent="0.25">
      <c r="A97" s="4">
        <v>25</v>
      </c>
      <c r="B97" s="4" t="str">
        <f>IF($B$4="","",IF(E96&lt;$B$4,D96,B96))</f>
        <v/>
      </c>
      <c r="C97" s="4" t="str">
        <f>IF($B$4="","",IF(E96&lt;$B$4,C96,D96))</f>
        <v/>
      </c>
      <c r="D97" s="4" t="str">
        <f>IF($B$4="","",(B97+C97)/2)</f>
        <v/>
      </c>
      <c r="E97" s="4" t="str">
        <f>IF($B$4="","",((('DCF_PYPL'!$B$3*(1+D97)^1*('DCF_PYPL'!$B$5*(1-'DCF_PYPL'!$B$6)+'DCF_PYPL'!$B$7-'DCF_PYPL'!$B$8)-'DCF_PYPL'!$B$3*(1+D97)^0*D97*'DCF_PYPL'!$B$9)/(1+'DCF_PYPL'!$B$10)^1+('DCF_PYPL'!$B$3*(1+D97)^2*('DCF_PYPL'!$B$5*(1-'DCF_PYPL'!$B$6)+'DCF_PYPL'!$B$7-'DCF_PYPL'!$B$8)-'DCF_PYPL'!$B$3*(1+D97)^1*D97*'DCF_PYPL'!$B$9)/(1+'DCF_PYPL'!$B$10)^2+('DCF_PYPL'!$B$3*(1+D97)^3*('DCF_PYPL'!$B$5*(1-'DCF_PYPL'!$B$6)+'DCF_PYPL'!$B$7-'DCF_PYPL'!$B$8)-'DCF_PYPL'!$B$3*(1+D97)^2*D97*'DCF_PYPL'!$B$9)/(1+'DCF_PYPL'!$B$10)^3+('DCF_PYPL'!$B$3*(1+D97)^4*('DCF_PYPL'!$B$5*(1-'DCF_PYPL'!$B$6)+'DCF_PYPL'!$B$7-'DCF_PYPL'!$B$8)-'DCF_PYPL'!$B$3*(1+D97)^3*D97*'DCF_PYPL'!$B$9)/(1+'DCF_PYPL'!$B$10)^4+('DCF_PYPL'!$B$3*(1+D97)^5*('DCF_PYPL'!$B$5*(1-'DCF_PYPL'!$B$6)+'DCF_PYPL'!$B$7-'DCF_PYPL'!$B$8)-'DCF_PYPL'!$B$3*(1+D97)^4*D97*'DCF_PYPL'!$B$9)/(1+'DCF_PYPL'!$B$10)^5+('DCF_PYPL'!$B$3*(1+D97)^5*(1+'DCF_PYPL'!$B$11)*('DCF_PYPL'!$B$5*(1-'DCF_PYPL'!$B$6)+'DCF_PYPL'!$B$7-'DCF_PYPL'!$B$8)-'DCF_PYPL'!$B$3*(1+D97)^5*'DCF_PYPL'!$B$11*'DCF_PYPL'!$B$9)/('DCF_PYPL'!$B$10-'DCF_PYPL'!$B$11)/(1+'DCF_PYPL'!$B$10)^5-'DCF_PYPL'!$B$13)/'DCF_PYPL'!$B$12))</f>
        <v/>
      </c>
    </row>
    <row r="98" spans="1:5" x14ac:dyDescent="0.25">
      <c r="A98" s="4">
        <v>26</v>
      </c>
      <c r="B98" s="4" t="str">
        <f>IF($B$4="","",IF(E97&lt;$B$4,D97,B97))</f>
        <v/>
      </c>
      <c r="C98" s="4" t="str">
        <f>IF($B$4="","",IF(E97&lt;$B$4,C97,D97))</f>
        <v/>
      </c>
      <c r="D98" s="4" t="str">
        <f>IF($B$4="","",(B98+C98)/2)</f>
        <v/>
      </c>
      <c r="E98" s="4" t="str">
        <f>IF($B$4="","",((('DCF_PYPL'!$B$3*(1+D98)^1*('DCF_PYPL'!$B$5*(1-'DCF_PYPL'!$B$6)+'DCF_PYPL'!$B$7-'DCF_PYPL'!$B$8)-'DCF_PYPL'!$B$3*(1+D98)^0*D98*'DCF_PYPL'!$B$9)/(1+'DCF_PYPL'!$B$10)^1+('DCF_PYPL'!$B$3*(1+D98)^2*('DCF_PYPL'!$B$5*(1-'DCF_PYPL'!$B$6)+'DCF_PYPL'!$B$7-'DCF_PYPL'!$B$8)-'DCF_PYPL'!$B$3*(1+D98)^1*D98*'DCF_PYPL'!$B$9)/(1+'DCF_PYPL'!$B$10)^2+('DCF_PYPL'!$B$3*(1+D98)^3*('DCF_PYPL'!$B$5*(1-'DCF_PYPL'!$B$6)+'DCF_PYPL'!$B$7-'DCF_PYPL'!$B$8)-'DCF_PYPL'!$B$3*(1+D98)^2*D98*'DCF_PYPL'!$B$9)/(1+'DCF_PYPL'!$B$10)^3+('DCF_PYPL'!$B$3*(1+D98)^4*('DCF_PYPL'!$B$5*(1-'DCF_PYPL'!$B$6)+'DCF_PYPL'!$B$7-'DCF_PYPL'!$B$8)-'DCF_PYPL'!$B$3*(1+D98)^3*D98*'DCF_PYPL'!$B$9)/(1+'DCF_PYPL'!$B$10)^4+('DCF_PYPL'!$B$3*(1+D98)^5*('DCF_PYPL'!$B$5*(1-'DCF_PYPL'!$B$6)+'DCF_PYPL'!$B$7-'DCF_PYPL'!$B$8)-'DCF_PYPL'!$B$3*(1+D98)^4*D98*'DCF_PYPL'!$B$9)/(1+'DCF_PYPL'!$B$10)^5+('DCF_PYPL'!$B$3*(1+D98)^5*(1+'DCF_PYPL'!$B$11)*('DCF_PYPL'!$B$5*(1-'DCF_PYPL'!$B$6)+'DCF_PYPL'!$B$7-'DCF_PYPL'!$B$8)-'DCF_PYPL'!$B$3*(1+D98)^5*'DCF_PYPL'!$B$11*'DCF_PYPL'!$B$9)/('DCF_PYPL'!$B$10-'DCF_PYPL'!$B$11)/(1+'DCF_PYPL'!$B$10)^5-'DCF_PYPL'!$B$13)/'DCF_PYPL'!$B$12))</f>
        <v/>
      </c>
    </row>
    <row r="99" spans="1:5" x14ac:dyDescent="0.25">
      <c r="A99" s="4">
        <v>27</v>
      </c>
      <c r="B99" s="4" t="str">
        <f>IF($B$4="","",IF(E98&lt;$B$4,D98,B98))</f>
        <v/>
      </c>
      <c r="C99" s="4" t="str">
        <f>IF($B$4="","",IF(E98&lt;$B$4,C98,D98))</f>
        <v/>
      </c>
      <c r="D99" s="4" t="str">
        <f>IF($B$4="","",(B99+C99)/2)</f>
        <v/>
      </c>
      <c r="E99" s="4" t="str">
        <f>IF($B$4="","",((('DCF_PYPL'!$B$3*(1+D99)^1*('DCF_PYPL'!$B$5*(1-'DCF_PYPL'!$B$6)+'DCF_PYPL'!$B$7-'DCF_PYPL'!$B$8)-'DCF_PYPL'!$B$3*(1+D99)^0*D99*'DCF_PYPL'!$B$9)/(1+'DCF_PYPL'!$B$10)^1+('DCF_PYPL'!$B$3*(1+D99)^2*('DCF_PYPL'!$B$5*(1-'DCF_PYPL'!$B$6)+'DCF_PYPL'!$B$7-'DCF_PYPL'!$B$8)-'DCF_PYPL'!$B$3*(1+D99)^1*D99*'DCF_PYPL'!$B$9)/(1+'DCF_PYPL'!$B$10)^2+('DCF_PYPL'!$B$3*(1+D99)^3*('DCF_PYPL'!$B$5*(1-'DCF_PYPL'!$B$6)+'DCF_PYPL'!$B$7-'DCF_PYPL'!$B$8)-'DCF_PYPL'!$B$3*(1+D99)^2*D99*'DCF_PYPL'!$B$9)/(1+'DCF_PYPL'!$B$10)^3+('DCF_PYPL'!$B$3*(1+D99)^4*('DCF_PYPL'!$B$5*(1-'DCF_PYPL'!$B$6)+'DCF_PYPL'!$B$7-'DCF_PYPL'!$B$8)-'DCF_PYPL'!$B$3*(1+D99)^3*D99*'DCF_PYPL'!$B$9)/(1+'DCF_PYPL'!$B$10)^4+('DCF_PYPL'!$B$3*(1+D99)^5*('DCF_PYPL'!$B$5*(1-'DCF_PYPL'!$B$6)+'DCF_PYPL'!$B$7-'DCF_PYPL'!$B$8)-'DCF_PYPL'!$B$3*(1+D99)^4*D99*'DCF_PYPL'!$B$9)/(1+'DCF_PYPL'!$B$10)^5+('DCF_PYPL'!$B$3*(1+D99)^5*(1+'DCF_PYPL'!$B$11)*('DCF_PYPL'!$B$5*(1-'DCF_PYPL'!$B$6)+'DCF_PYPL'!$B$7-'DCF_PYPL'!$B$8)-'DCF_PYPL'!$B$3*(1+D99)^5*'DCF_PYPL'!$B$11*'DCF_PYPL'!$B$9)/('DCF_PYPL'!$B$10-'DCF_PYPL'!$B$11)/(1+'DCF_PYPL'!$B$10)^5-'DCF_PYPL'!$B$13)/'DCF_PYPL'!$B$12))</f>
        <v/>
      </c>
    </row>
    <row r="100" spans="1:5" x14ac:dyDescent="0.25">
      <c r="A100" s="4">
        <v>28</v>
      </c>
      <c r="B100" s="4" t="str">
        <f>IF($B$4="","",IF(E99&lt;$B$4,D99,B99))</f>
        <v/>
      </c>
      <c r="C100" s="4" t="str">
        <f>IF($B$4="","",IF(E99&lt;$B$4,C99,D99))</f>
        <v/>
      </c>
      <c r="D100" s="4" t="str">
        <f>IF($B$4="","",(B100+C100)/2)</f>
        <v/>
      </c>
      <c r="E100" s="4" t="str">
        <f>IF($B$4="","",((('DCF_PYPL'!$B$3*(1+D100)^1*('DCF_PYPL'!$B$5*(1-'DCF_PYPL'!$B$6)+'DCF_PYPL'!$B$7-'DCF_PYPL'!$B$8)-'DCF_PYPL'!$B$3*(1+D100)^0*D100*'DCF_PYPL'!$B$9)/(1+'DCF_PYPL'!$B$10)^1+('DCF_PYPL'!$B$3*(1+D100)^2*('DCF_PYPL'!$B$5*(1-'DCF_PYPL'!$B$6)+'DCF_PYPL'!$B$7-'DCF_PYPL'!$B$8)-'DCF_PYPL'!$B$3*(1+D100)^1*D100*'DCF_PYPL'!$B$9)/(1+'DCF_PYPL'!$B$10)^2+('DCF_PYPL'!$B$3*(1+D100)^3*('DCF_PYPL'!$B$5*(1-'DCF_PYPL'!$B$6)+'DCF_PYPL'!$B$7-'DCF_PYPL'!$B$8)-'DCF_PYPL'!$B$3*(1+D100)^2*D100*'DCF_PYPL'!$B$9)/(1+'DCF_PYPL'!$B$10)^3+('DCF_PYPL'!$B$3*(1+D100)^4*('DCF_PYPL'!$B$5*(1-'DCF_PYPL'!$B$6)+'DCF_PYPL'!$B$7-'DCF_PYPL'!$B$8)-'DCF_PYPL'!$B$3*(1+D100)^3*D100*'DCF_PYPL'!$B$9)/(1+'DCF_PYPL'!$B$10)^4+('DCF_PYPL'!$B$3*(1+D100)^5*('DCF_PYPL'!$B$5*(1-'DCF_PYPL'!$B$6)+'DCF_PYPL'!$B$7-'DCF_PYPL'!$B$8)-'DCF_PYPL'!$B$3*(1+D100)^4*D100*'DCF_PYPL'!$B$9)/(1+'DCF_PYPL'!$B$10)^5+('DCF_PYPL'!$B$3*(1+D100)^5*(1+'DCF_PYPL'!$B$11)*('DCF_PYPL'!$B$5*(1-'DCF_PYPL'!$B$6)+'DCF_PYPL'!$B$7-'DCF_PYPL'!$B$8)-'DCF_PYPL'!$B$3*(1+D100)^5*'DCF_PYPL'!$B$11*'DCF_PYPL'!$B$9)/('DCF_PYPL'!$B$10-'DCF_PYPL'!$B$11)/(1+'DCF_PYPL'!$B$10)^5-'DCF_PYPL'!$B$13)/'DCF_PYPL'!$B$12))</f>
        <v/>
      </c>
    </row>
    <row r="101" spans="1:5" x14ac:dyDescent="0.25">
      <c r="A101" s="4">
        <v>29</v>
      </c>
      <c r="B101" s="4" t="str">
        <f>IF($B$4="","",IF(E100&lt;$B$4,D100,B100))</f>
        <v/>
      </c>
      <c r="C101" s="4" t="str">
        <f>IF($B$4="","",IF(E100&lt;$B$4,C100,D100))</f>
        <v/>
      </c>
      <c r="D101" s="4" t="str">
        <f>IF($B$4="","",(B101+C101)/2)</f>
        <v/>
      </c>
      <c r="E101" s="4" t="str">
        <f>IF($B$4="","",((('DCF_PYPL'!$B$3*(1+D101)^1*('DCF_PYPL'!$B$5*(1-'DCF_PYPL'!$B$6)+'DCF_PYPL'!$B$7-'DCF_PYPL'!$B$8)-'DCF_PYPL'!$B$3*(1+D101)^0*D101*'DCF_PYPL'!$B$9)/(1+'DCF_PYPL'!$B$10)^1+('DCF_PYPL'!$B$3*(1+D101)^2*('DCF_PYPL'!$B$5*(1-'DCF_PYPL'!$B$6)+'DCF_PYPL'!$B$7-'DCF_PYPL'!$B$8)-'DCF_PYPL'!$B$3*(1+D101)^1*D101*'DCF_PYPL'!$B$9)/(1+'DCF_PYPL'!$B$10)^2+('DCF_PYPL'!$B$3*(1+D101)^3*('DCF_PYPL'!$B$5*(1-'DCF_PYPL'!$B$6)+'DCF_PYPL'!$B$7-'DCF_PYPL'!$B$8)-'DCF_PYPL'!$B$3*(1+D101)^2*D101*'DCF_PYPL'!$B$9)/(1+'DCF_PYPL'!$B$10)^3+('DCF_PYPL'!$B$3*(1+D101)^4*('DCF_PYPL'!$B$5*(1-'DCF_PYPL'!$B$6)+'DCF_PYPL'!$B$7-'DCF_PYPL'!$B$8)-'DCF_PYPL'!$B$3*(1+D101)^3*D101*'DCF_PYPL'!$B$9)/(1+'DCF_PYPL'!$B$10)^4+('DCF_PYPL'!$B$3*(1+D101)^5*('DCF_PYPL'!$B$5*(1-'DCF_PYPL'!$B$6)+'DCF_PYPL'!$B$7-'DCF_PYPL'!$B$8)-'DCF_PYPL'!$B$3*(1+D101)^4*D101*'DCF_PYPL'!$B$9)/(1+'DCF_PYPL'!$B$10)^5+('DCF_PYPL'!$B$3*(1+D101)^5*(1+'DCF_PYPL'!$B$11)*('DCF_PYPL'!$B$5*(1-'DCF_PYPL'!$B$6)+'DCF_PYPL'!$B$7-'DCF_PYPL'!$B$8)-'DCF_PYPL'!$B$3*(1+D101)^5*'DCF_PYPL'!$B$11*'DCF_PYPL'!$B$9)/('DCF_PYPL'!$B$10-'DCF_PYPL'!$B$11)/(1+'DCF_PYPL'!$B$10)^5-'DCF_PYPL'!$B$13)/'DCF_PYPL'!$B$12))</f>
        <v/>
      </c>
    </row>
    <row r="102" spans="1:5" x14ac:dyDescent="0.25">
      <c r="A102" s="4">
        <v>30</v>
      </c>
      <c r="B102" s="4" t="str">
        <f>IF($B$4="","",IF(E101&lt;$B$4,D101,B101))</f>
        <v/>
      </c>
      <c r="C102" s="4" t="str">
        <f>IF($B$4="","",IF(E101&lt;$B$4,C101,D101))</f>
        <v/>
      </c>
      <c r="D102" s="4" t="str">
        <f>IF($B$4="","",(B102+C102)/2)</f>
        <v/>
      </c>
      <c r="E102" s="4" t="str">
        <f>IF($B$4="","",((('DCF_PYPL'!$B$3*(1+D102)^1*('DCF_PYPL'!$B$5*(1-'DCF_PYPL'!$B$6)+'DCF_PYPL'!$B$7-'DCF_PYPL'!$B$8)-'DCF_PYPL'!$B$3*(1+D102)^0*D102*'DCF_PYPL'!$B$9)/(1+'DCF_PYPL'!$B$10)^1+('DCF_PYPL'!$B$3*(1+D102)^2*('DCF_PYPL'!$B$5*(1-'DCF_PYPL'!$B$6)+'DCF_PYPL'!$B$7-'DCF_PYPL'!$B$8)-'DCF_PYPL'!$B$3*(1+D102)^1*D102*'DCF_PYPL'!$B$9)/(1+'DCF_PYPL'!$B$10)^2+('DCF_PYPL'!$B$3*(1+D102)^3*('DCF_PYPL'!$B$5*(1-'DCF_PYPL'!$B$6)+'DCF_PYPL'!$B$7-'DCF_PYPL'!$B$8)-'DCF_PYPL'!$B$3*(1+D102)^2*D102*'DCF_PYPL'!$B$9)/(1+'DCF_PYPL'!$B$10)^3+('DCF_PYPL'!$B$3*(1+D102)^4*('DCF_PYPL'!$B$5*(1-'DCF_PYPL'!$B$6)+'DCF_PYPL'!$B$7-'DCF_PYPL'!$B$8)-'DCF_PYPL'!$B$3*(1+D102)^3*D102*'DCF_PYPL'!$B$9)/(1+'DCF_PYPL'!$B$10)^4+('DCF_PYPL'!$B$3*(1+D102)^5*('DCF_PYPL'!$B$5*(1-'DCF_PYPL'!$B$6)+'DCF_PYPL'!$B$7-'DCF_PYPL'!$B$8)-'DCF_PYPL'!$B$3*(1+D102)^4*D102*'DCF_PYPL'!$B$9)/(1+'DCF_PYPL'!$B$10)^5+('DCF_PYPL'!$B$3*(1+D102)^5*(1+'DCF_PYPL'!$B$11)*('DCF_PYPL'!$B$5*(1-'DCF_PYPL'!$B$6)+'DCF_PYPL'!$B$7-'DCF_PYPL'!$B$8)-'DCF_PYPL'!$B$3*(1+D102)^5*'DCF_PYPL'!$B$11*'DCF_PYPL'!$B$9)/('DCF_PYPL'!$B$10-'DCF_PYPL'!$B$11)/(1+'DCF_PYPL'!$B$10)^5-'DCF_PYPL'!$B$13)/'DCF_PYPL'!$B$12))</f>
        <v/>
      </c>
    </row>
    <row r="103" spans="1:5" x14ac:dyDescent="0.25">
      <c r="A103" s="4">
        <v>31</v>
      </c>
      <c r="B103" s="4" t="str">
        <f>IF($B$4="","",IF(E102&lt;$B$4,D102,B102))</f>
        <v/>
      </c>
      <c r="C103" s="4" t="str">
        <f>IF($B$4="","",IF(E102&lt;$B$4,C102,D102))</f>
        <v/>
      </c>
      <c r="D103" s="4" t="str">
        <f>IF($B$4="","",(B103+C103)/2)</f>
        <v/>
      </c>
      <c r="E103" s="4" t="str">
        <f>IF($B$4="","",((('DCF_PYPL'!$B$3*(1+D103)^1*('DCF_PYPL'!$B$5*(1-'DCF_PYPL'!$B$6)+'DCF_PYPL'!$B$7-'DCF_PYPL'!$B$8)-'DCF_PYPL'!$B$3*(1+D103)^0*D103*'DCF_PYPL'!$B$9)/(1+'DCF_PYPL'!$B$10)^1+('DCF_PYPL'!$B$3*(1+D103)^2*('DCF_PYPL'!$B$5*(1-'DCF_PYPL'!$B$6)+'DCF_PYPL'!$B$7-'DCF_PYPL'!$B$8)-'DCF_PYPL'!$B$3*(1+D103)^1*D103*'DCF_PYPL'!$B$9)/(1+'DCF_PYPL'!$B$10)^2+('DCF_PYPL'!$B$3*(1+D103)^3*('DCF_PYPL'!$B$5*(1-'DCF_PYPL'!$B$6)+'DCF_PYPL'!$B$7-'DCF_PYPL'!$B$8)-'DCF_PYPL'!$B$3*(1+D103)^2*D103*'DCF_PYPL'!$B$9)/(1+'DCF_PYPL'!$B$10)^3+('DCF_PYPL'!$B$3*(1+D103)^4*('DCF_PYPL'!$B$5*(1-'DCF_PYPL'!$B$6)+'DCF_PYPL'!$B$7-'DCF_PYPL'!$B$8)-'DCF_PYPL'!$B$3*(1+D103)^3*D103*'DCF_PYPL'!$B$9)/(1+'DCF_PYPL'!$B$10)^4+('DCF_PYPL'!$B$3*(1+D103)^5*('DCF_PYPL'!$B$5*(1-'DCF_PYPL'!$B$6)+'DCF_PYPL'!$B$7-'DCF_PYPL'!$B$8)-'DCF_PYPL'!$B$3*(1+D103)^4*D103*'DCF_PYPL'!$B$9)/(1+'DCF_PYPL'!$B$10)^5+('DCF_PYPL'!$B$3*(1+D103)^5*(1+'DCF_PYPL'!$B$11)*('DCF_PYPL'!$B$5*(1-'DCF_PYPL'!$B$6)+'DCF_PYPL'!$B$7-'DCF_PYPL'!$B$8)-'DCF_PYPL'!$B$3*(1+D103)^5*'DCF_PYPL'!$B$11*'DCF_PYPL'!$B$9)/('DCF_PYPL'!$B$10-'DCF_PYPL'!$B$11)/(1+'DCF_PYPL'!$B$10)^5-'DCF_PYPL'!$B$13)/'DCF_PYPL'!$B$12))</f>
        <v/>
      </c>
    </row>
    <row r="104" spans="1:5" x14ac:dyDescent="0.25">
      <c r="A104" s="4">
        <v>32</v>
      </c>
      <c r="B104" s="4" t="str">
        <f>IF($B$4="","",IF(E103&lt;$B$4,D103,B103))</f>
        <v/>
      </c>
      <c r="C104" s="4" t="str">
        <f>IF($B$4="","",IF(E103&lt;$B$4,C103,D103))</f>
        <v/>
      </c>
      <c r="D104" s="4" t="str">
        <f>IF($B$4="","",(B104+C104)/2)</f>
        <v/>
      </c>
      <c r="E104" s="4" t="str">
        <f>IF($B$4="","",((('DCF_PYPL'!$B$3*(1+D104)^1*('DCF_PYPL'!$B$5*(1-'DCF_PYPL'!$B$6)+'DCF_PYPL'!$B$7-'DCF_PYPL'!$B$8)-'DCF_PYPL'!$B$3*(1+D104)^0*D104*'DCF_PYPL'!$B$9)/(1+'DCF_PYPL'!$B$10)^1+('DCF_PYPL'!$B$3*(1+D104)^2*('DCF_PYPL'!$B$5*(1-'DCF_PYPL'!$B$6)+'DCF_PYPL'!$B$7-'DCF_PYPL'!$B$8)-'DCF_PYPL'!$B$3*(1+D104)^1*D104*'DCF_PYPL'!$B$9)/(1+'DCF_PYPL'!$B$10)^2+('DCF_PYPL'!$B$3*(1+D104)^3*('DCF_PYPL'!$B$5*(1-'DCF_PYPL'!$B$6)+'DCF_PYPL'!$B$7-'DCF_PYPL'!$B$8)-'DCF_PYPL'!$B$3*(1+D104)^2*D104*'DCF_PYPL'!$B$9)/(1+'DCF_PYPL'!$B$10)^3+('DCF_PYPL'!$B$3*(1+D104)^4*('DCF_PYPL'!$B$5*(1-'DCF_PYPL'!$B$6)+'DCF_PYPL'!$B$7-'DCF_PYPL'!$B$8)-'DCF_PYPL'!$B$3*(1+D104)^3*D104*'DCF_PYPL'!$B$9)/(1+'DCF_PYPL'!$B$10)^4+('DCF_PYPL'!$B$3*(1+D104)^5*('DCF_PYPL'!$B$5*(1-'DCF_PYPL'!$B$6)+'DCF_PYPL'!$B$7-'DCF_PYPL'!$B$8)-'DCF_PYPL'!$B$3*(1+D104)^4*D104*'DCF_PYPL'!$B$9)/(1+'DCF_PYPL'!$B$10)^5+('DCF_PYPL'!$B$3*(1+D104)^5*(1+'DCF_PYPL'!$B$11)*('DCF_PYPL'!$B$5*(1-'DCF_PYPL'!$B$6)+'DCF_PYPL'!$B$7-'DCF_PYPL'!$B$8)-'DCF_PYPL'!$B$3*(1+D104)^5*'DCF_PYPL'!$B$11*'DCF_PYPL'!$B$9)/('DCF_PYPL'!$B$10-'DCF_PYPL'!$B$11)/(1+'DCF_PYPL'!$B$10)^5-'DCF_PYPL'!$B$13)/'DCF_PYPL'!$B$12))</f>
        <v/>
      </c>
    </row>
    <row r="105" spans="1:5" x14ac:dyDescent="0.25">
      <c r="A105" s="4">
        <v>33</v>
      </c>
      <c r="B105" s="4" t="str">
        <f>IF($B$4="","",IF(E104&lt;$B$4,D104,B104))</f>
        <v/>
      </c>
      <c r="C105" s="4" t="str">
        <f>IF($B$4="","",IF(E104&lt;$B$4,C104,D104))</f>
        <v/>
      </c>
      <c r="D105" s="4" t="str">
        <f>IF($B$4="","",(B105+C105)/2)</f>
        <v/>
      </c>
      <c r="E105" s="4" t="str">
        <f>IF($B$4="","",((('DCF_PYPL'!$B$3*(1+D105)^1*('DCF_PYPL'!$B$5*(1-'DCF_PYPL'!$B$6)+'DCF_PYPL'!$B$7-'DCF_PYPL'!$B$8)-'DCF_PYPL'!$B$3*(1+D105)^0*D105*'DCF_PYPL'!$B$9)/(1+'DCF_PYPL'!$B$10)^1+('DCF_PYPL'!$B$3*(1+D105)^2*('DCF_PYPL'!$B$5*(1-'DCF_PYPL'!$B$6)+'DCF_PYPL'!$B$7-'DCF_PYPL'!$B$8)-'DCF_PYPL'!$B$3*(1+D105)^1*D105*'DCF_PYPL'!$B$9)/(1+'DCF_PYPL'!$B$10)^2+('DCF_PYPL'!$B$3*(1+D105)^3*('DCF_PYPL'!$B$5*(1-'DCF_PYPL'!$B$6)+'DCF_PYPL'!$B$7-'DCF_PYPL'!$B$8)-'DCF_PYPL'!$B$3*(1+D105)^2*D105*'DCF_PYPL'!$B$9)/(1+'DCF_PYPL'!$B$10)^3+('DCF_PYPL'!$B$3*(1+D105)^4*('DCF_PYPL'!$B$5*(1-'DCF_PYPL'!$B$6)+'DCF_PYPL'!$B$7-'DCF_PYPL'!$B$8)-'DCF_PYPL'!$B$3*(1+D105)^3*D105*'DCF_PYPL'!$B$9)/(1+'DCF_PYPL'!$B$10)^4+('DCF_PYPL'!$B$3*(1+D105)^5*('DCF_PYPL'!$B$5*(1-'DCF_PYPL'!$B$6)+'DCF_PYPL'!$B$7-'DCF_PYPL'!$B$8)-'DCF_PYPL'!$B$3*(1+D105)^4*D105*'DCF_PYPL'!$B$9)/(1+'DCF_PYPL'!$B$10)^5+('DCF_PYPL'!$B$3*(1+D105)^5*(1+'DCF_PYPL'!$B$11)*('DCF_PYPL'!$B$5*(1-'DCF_PYPL'!$B$6)+'DCF_PYPL'!$B$7-'DCF_PYPL'!$B$8)-'DCF_PYPL'!$B$3*(1+D105)^5*'DCF_PYPL'!$B$11*'DCF_PYPL'!$B$9)/('DCF_PYPL'!$B$10-'DCF_PYPL'!$B$11)/(1+'DCF_PYPL'!$B$10)^5-'DCF_PYPL'!$B$13)/'DCF_PYPL'!$B$12))</f>
        <v/>
      </c>
    </row>
    <row r="106" spans="1:5" x14ac:dyDescent="0.25">
      <c r="A106" s="4">
        <v>34</v>
      </c>
      <c r="B106" s="4" t="str">
        <f>IF($B$4="","",IF(E105&lt;$B$4,D105,B105))</f>
        <v/>
      </c>
      <c r="C106" s="4" t="str">
        <f>IF($B$4="","",IF(E105&lt;$B$4,C105,D105))</f>
        <v/>
      </c>
      <c r="D106" s="4" t="str">
        <f>IF($B$4="","",(B106+C106)/2)</f>
        <v/>
      </c>
      <c r="E106" s="4" t="str">
        <f>IF($B$4="","",((('DCF_PYPL'!$B$3*(1+D106)^1*('DCF_PYPL'!$B$5*(1-'DCF_PYPL'!$B$6)+'DCF_PYPL'!$B$7-'DCF_PYPL'!$B$8)-'DCF_PYPL'!$B$3*(1+D106)^0*D106*'DCF_PYPL'!$B$9)/(1+'DCF_PYPL'!$B$10)^1+('DCF_PYPL'!$B$3*(1+D106)^2*('DCF_PYPL'!$B$5*(1-'DCF_PYPL'!$B$6)+'DCF_PYPL'!$B$7-'DCF_PYPL'!$B$8)-'DCF_PYPL'!$B$3*(1+D106)^1*D106*'DCF_PYPL'!$B$9)/(1+'DCF_PYPL'!$B$10)^2+('DCF_PYPL'!$B$3*(1+D106)^3*('DCF_PYPL'!$B$5*(1-'DCF_PYPL'!$B$6)+'DCF_PYPL'!$B$7-'DCF_PYPL'!$B$8)-'DCF_PYPL'!$B$3*(1+D106)^2*D106*'DCF_PYPL'!$B$9)/(1+'DCF_PYPL'!$B$10)^3+('DCF_PYPL'!$B$3*(1+D106)^4*('DCF_PYPL'!$B$5*(1-'DCF_PYPL'!$B$6)+'DCF_PYPL'!$B$7-'DCF_PYPL'!$B$8)-'DCF_PYPL'!$B$3*(1+D106)^3*D106*'DCF_PYPL'!$B$9)/(1+'DCF_PYPL'!$B$10)^4+('DCF_PYPL'!$B$3*(1+D106)^5*('DCF_PYPL'!$B$5*(1-'DCF_PYPL'!$B$6)+'DCF_PYPL'!$B$7-'DCF_PYPL'!$B$8)-'DCF_PYPL'!$B$3*(1+D106)^4*D106*'DCF_PYPL'!$B$9)/(1+'DCF_PYPL'!$B$10)^5+('DCF_PYPL'!$B$3*(1+D106)^5*(1+'DCF_PYPL'!$B$11)*('DCF_PYPL'!$B$5*(1-'DCF_PYPL'!$B$6)+'DCF_PYPL'!$B$7-'DCF_PYPL'!$B$8)-'DCF_PYPL'!$B$3*(1+D106)^5*'DCF_PYPL'!$B$11*'DCF_PYPL'!$B$9)/('DCF_PYPL'!$B$10-'DCF_PYPL'!$B$11)/(1+'DCF_PYPL'!$B$10)^5-'DCF_PYPL'!$B$13)/'DCF_PYPL'!$B$12))</f>
        <v/>
      </c>
    </row>
    <row r="107" spans="1:5" x14ac:dyDescent="0.25">
      <c r="A107" s="4">
        <v>35</v>
      </c>
      <c r="B107" s="4" t="str">
        <f>IF($B$4="","",IF(E106&lt;$B$4,D106,B106))</f>
        <v/>
      </c>
      <c r="C107" s="4" t="str">
        <f>IF($B$4="","",IF(E106&lt;$B$4,C106,D106))</f>
        <v/>
      </c>
      <c r="D107" s="4" t="str">
        <f>IF($B$4="","",(B107+C107)/2)</f>
        <v/>
      </c>
      <c r="E107" s="4" t="str">
        <f>IF($B$4="","",((('DCF_PYPL'!$B$3*(1+D107)^1*('DCF_PYPL'!$B$5*(1-'DCF_PYPL'!$B$6)+'DCF_PYPL'!$B$7-'DCF_PYPL'!$B$8)-'DCF_PYPL'!$B$3*(1+D107)^0*D107*'DCF_PYPL'!$B$9)/(1+'DCF_PYPL'!$B$10)^1+('DCF_PYPL'!$B$3*(1+D107)^2*('DCF_PYPL'!$B$5*(1-'DCF_PYPL'!$B$6)+'DCF_PYPL'!$B$7-'DCF_PYPL'!$B$8)-'DCF_PYPL'!$B$3*(1+D107)^1*D107*'DCF_PYPL'!$B$9)/(1+'DCF_PYPL'!$B$10)^2+('DCF_PYPL'!$B$3*(1+D107)^3*('DCF_PYPL'!$B$5*(1-'DCF_PYPL'!$B$6)+'DCF_PYPL'!$B$7-'DCF_PYPL'!$B$8)-'DCF_PYPL'!$B$3*(1+D107)^2*D107*'DCF_PYPL'!$B$9)/(1+'DCF_PYPL'!$B$10)^3+('DCF_PYPL'!$B$3*(1+D107)^4*('DCF_PYPL'!$B$5*(1-'DCF_PYPL'!$B$6)+'DCF_PYPL'!$B$7-'DCF_PYPL'!$B$8)-'DCF_PYPL'!$B$3*(1+D107)^3*D107*'DCF_PYPL'!$B$9)/(1+'DCF_PYPL'!$B$10)^4+('DCF_PYPL'!$B$3*(1+D107)^5*('DCF_PYPL'!$B$5*(1-'DCF_PYPL'!$B$6)+'DCF_PYPL'!$B$7-'DCF_PYPL'!$B$8)-'DCF_PYPL'!$B$3*(1+D107)^4*D107*'DCF_PYPL'!$B$9)/(1+'DCF_PYPL'!$B$10)^5+('DCF_PYPL'!$B$3*(1+D107)^5*(1+'DCF_PYPL'!$B$11)*('DCF_PYPL'!$B$5*(1-'DCF_PYPL'!$B$6)+'DCF_PYPL'!$B$7-'DCF_PYPL'!$B$8)-'DCF_PYPL'!$B$3*(1+D107)^5*'DCF_PYPL'!$B$11*'DCF_PYPL'!$B$9)/('DCF_PYPL'!$B$10-'DCF_PYPL'!$B$11)/(1+'DCF_PYPL'!$B$10)^5-'DCF_PYPL'!$B$13)/'DCF_PYPL'!$B$12))</f>
        <v/>
      </c>
    </row>
    <row r="108" spans="1:5" x14ac:dyDescent="0.25">
      <c r="A108" s="4">
        <v>36</v>
      </c>
      <c r="B108" s="4" t="str">
        <f>IF($B$4="","",IF(E107&lt;$B$4,D107,B107))</f>
        <v/>
      </c>
      <c r="C108" s="4" t="str">
        <f>IF($B$4="","",IF(E107&lt;$B$4,C107,D107))</f>
        <v/>
      </c>
      <c r="D108" s="4" t="str">
        <f>IF($B$4="","",(B108+C108)/2)</f>
        <v/>
      </c>
      <c r="E108" s="4" t="str">
        <f>IF($B$4="","",((('DCF_PYPL'!$B$3*(1+D108)^1*('DCF_PYPL'!$B$5*(1-'DCF_PYPL'!$B$6)+'DCF_PYPL'!$B$7-'DCF_PYPL'!$B$8)-'DCF_PYPL'!$B$3*(1+D108)^0*D108*'DCF_PYPL'!$B$9)/(1+'DCF_PYPL'!$B$10)^1+('DCF_PYPL'!$B$3*(1+D108)^2*('DCF_PYPL'!$B$5*(1-'DCF_PYPL'!$B$6)+'DCF_PYPL'!$B$7-'DCF_PYPL'!$B$8)-'DCF_PYPL'!$B$3*(1+D108)^1*D108*'DCF_PYPL'!$B$9)/(1+'DCF_PYPL'!$B$10)^2+('DCF_PYPL'!$B$3*(1+D108)^3*('DCF_PYPL'!$B$5*(1-'DCF_PYPL'!$B$6)+'DCF_PYPL'!$B$7-'DCF_PYPL'!$B$8)-'DCF_PYPL'!$B$3*(1+D108)^2*D108*'DCF_PYPL'!$B$9)/(1+'DCF_PYPL'!$B$10)^3+('DCF_PYPL'!$B$3*(1+D108)^4*('DCF_PYPL'!$B$5*(1-'DCF_PYPL'!$B$6)+'DCF_PYPL'!$B$7-'DCF_PYPL'!$B$8)-'DCF_PYPL'!$B$3*(1+D108)^3*D108*'DCF_PYPL'!$B$9)/(1+'DCF_PYPL'!$B$10)^4+('DCF_PYPL'!$B$3*(1+D108)^5*('DCF_PYPL'!$B$5*(1-'DCF_PYPL'!$B$6)+'DCF_PYPL'!$B$7-'DCF_PYPL'!$B$8)-'DCF_PYPL'!$B$3*(1+D108)^4*D108*'DCF_PYPL'!$B$9)/(1+'DCF_PYPL'!$B$10)^5+('DCF_PYPL'!$B$3*(1+D108)^5*(1+'DCF_PYPL'!$B$11)*('DCF_PYPL'!$B$5*(1-'DCF_PYPL'!$B$6)+'DCF_PYPL'!$B$7-'DCF_PYPL'!$B$8)-'DCF_PYPL'!$B$3*(1+D108)^5*'DCF_PYPL'!$B$11*'DCF_PYPL'!$B$9)/('DCF_PYPL'!$B$10-'DCF_PYPL'!$B$11)/(1+'DCF_PYPL'!$B$10)^5-'DCF_PYPL'!$B$13)/'DCF_PYPL'!$B$12))</f>
        <v/>
      </c>
    </row>
    <row r="109" spans="1:5" x14ac:dyDescent="0.25">
      <c r="A109" s="4">
        <v>37</v>
      </c>
      <c r="B109" s="4" t="str">
        <f>IF($B$4="","",IF(E108&lt;$B$4,D108,B108))</f>
        <v/>
      </c>
      <c r="C109" s="4" t="str">
        <f>IF($B$4="","",IF(E108&lt;$B$4,C108,D108))</f>
        <v/>
      </c>
      <c r="D109" s="4" t="str">
        <f>IF($B$4="","",(B109+C109)/2)</f>
        <v/>
      </c>
      <c r="E109" s="4" t="str">
        <f>IF($B$4="","",((('DCF_PYPL'!$B$3*(1+D109)^1*('DCF_PYPL'!$B$5*(1-'DCF_PYPL'!$B$6)+'DCF_PYPL'!$B$7-'DCF_PYPL'!$B$8)-'DCF_PYPL'!$B$3*(1+D109)^0*D109*'DCF_PYPL'!$B$9)/(1+'DCF_PYPL'!$B$10)^1+('DCF_PYPL'!$B$3*(1+D109)^2*('DCF_PYPL'!$B$5*(1-'DCF_PYPL'!$B$6)+'DCF_PYPL'!$B$7-'DCF_PYPL'!$B$8)-'DCF_PYPL'!$B$3*(1+D109)^1*D109*'DCF_PYPL'!$B$9)/(1+'DCF_PYPL'!$B$10)^2+('DCF_PYPL'!$B$3*(1+D109)^3*('DCF_PYPL'!$B$5*(1-'DCF_PYPL'!$B$6)+'DCF_PYPL'!$B$7-'DCF_PYPL'!$B$8)-'DCF_PYPL'!$B$3*(1+D109)^2*D109*'DCF_PYPL'!$B$9)/(1+'DCF_PYPL'!$B$10)^3+('DCF_PYPL'!$B$3*(1+D109)^4*('DCF_PYPL'!$B$5*(1-'DCF_PYPL'!$B$6)+'DCF_PYPL'!$B$7-'DCF_PYPL'!$B$8)-'DCF_PYPL'!$B$3*(1+D109)^3*D109*'DCF_PYPL'!$B$9)/(1+'DCF_PYPL'!$B$10)^4+('DCF_PYPL'!$B$3*(1+D109)^5*('DCF_PYPL'!$B$5*(1-'DCF_PYPL'!$B$6)+'DCF_PYPL'!$B$7-'DCF_PYPL'!$B$8)-'DCF_PYPL'!$B$3*(1+D109)^4*D109*'DCF_PYPL'!$B$9)/(1+'DCF_PYPL'!$B$10)^5+('DCF_PYPL'!$B$3*(1+D109)^5*(1+'DCF_PYPL'!$B$11)*('DCF_PYPL'!$B$5*(1-'DCF_PYPL'!$B$6)+'DCF_PYPL'!$B$7-'DCF_PYPL'!$B$8)-'DCF_PYPL'!$B$3*(1+D109)^5*'DCF_PYPL'!$B$11*'DCF_PYPL'!$B$9)/('DCF_PYPL'!$B$10-'DCF_PYPL'!$B$11)/(1+'DCF_PYPL'!$B$10)^5-'DCF_PYPL'!$B$13)/'DCF_PYPL'!$B$12))</f>
        <v/>
      </c>
    </row>
    <row r="110" spans="1:5" x14ac:dyDescent="0.25">
      <c r="A110" s="4">
        <v>38</v>
      </c>
      <c r="B110" s="4" t="str">
        <f>IF($B$4="","",IF(E109&lt;$B$4,D109,B109))</f>
        <v/>
      </c>
      <c r="C110" s="4" t="str">
        <f>IF($B$4="","",IF(E109&lt;$B$4,C109,D109))</f>
        <v/>
      </c>
      <c r="D110" s="4" t="str">
        <f>IF($B$4="","",(B110+C110)/2)</f>
        <v/>
      </c>
      <c r="E110" s="4" t="str">
        <f>IF($B$4="","",((('DCF_PYPL'!$B$3*(1+D110)^1*('DCF_PYPL'!$B$5*(1-'DCF_PYPL'!$B$6)+'DCF_PYPL'!$B$7-'DCF_PYPL'!$B$8)-'DCF_PYPL'!$B$3*(1+D110)^0*D110*'DCF_PYPL'!$B$9)/(1+'DCF_PYPL'!$B$10)^1+('DCF_PYPL'!$B$3*(1+D110)^2*('DCF_PYPL'!$B$5*(1-'DCF_PYPL'!$B$6)+'DCF_PYPL'!$B$7-'DCF_PYPL'!$B$8)-'DCF_PYPL'!$B$3*(1+D110)^1*D110*'DCF_PYPL'!$B$9)/(1+'DCF_PYPL'!$B$10)^2+('DCF_PYPL'!$B$3*(1+D110)^3*('DCF_PYPL'!$B$5*(1-'DCF_PYPL'!$B$6)+'DCF_PYPL'!$B$7-'DCF_PYPL'!$B$8)-'DCF_PYPL'!$B$3*(1+D110)^2*D110*'DCF_PYPL'!$B$9)/(1+'DCF_PYPL'!$B$10)^3+('DCF_PYPL'!$B$3*(1+D110)^4*('DCF_PYPL'!$B$5*(1-'DCF_PYPL'!$B$6)+'DCF_PYPL'!$B$7-'DCF_PYPL'!$B$8)-'DCF_PYPL'!$B$3*(1+D110)^3*D110*'DCF_PYPL'!$B$9)/(1+'DCF_PYPL'!$B$10)^4+('DCF_PYPL'!$B$3*(1+D110)^5*('DCF_PYPL'!$B$5*(1-'DCF_PYPL'!$B$6)+'DCF_PYPL'!$B$7-'DCF_PYPL'!$B$8)-'DCF_PYPL'!$B$3*(1+D110)^4*D110*'DCF_PYPL'!$B$9)/(1+'DCF_PYPL'!$B$10)^5+('DCF_PYPL'!$B$3*(1+D110)^5*(1+'DCF_PYPL'!$B$11)*('DCF_PYPL'!$B$5*(1-'DCF_PYPL'!$B$6)+'DCF_PYPL'!$B$7-'DCF_PYPL'!$B$8)-'DCF_PYPL'!$B$3*(1+D110)^5*'DCF_PYPL'!$B$11*'DCF_PYPL'!$B$9)/('DCF_PYPL'!$B$10-'DCF_PYPL'!$B$11)/(1+'DCF_PYPL'!$B$10)^5-'DCF_PYPL'!$B$13)/'DCF_PYPL'!$B$12))</f>
        <v/>
      </c>
    </row>
    <row r="111" spans="1:5" x14ac:dyDescent="0.25">
      <c r="A111" s="4">
        <v>39</v>
      </c>
      <c r="B111" s="4" t="str">
        <f>IF($B$4="","",IF(E110&lt;$B$4,D110,B110))</f>
        <v/>
      </c>
      <c r="C111" s="4" t="str">
        <f>IF($B$4="","",IF(E110&lt;$B$4,C110,D110))</f>
        <v/>
      </c>
      <c r="D111" s="4" t="str">
        <f>IF($B$4="","",(B111+C111)/2)</f>
        <v/>
      </c>
      <c r="E111" s="4" t="str">
        <f>IF($B$4="","",((('DCF_PYPL'!$B$3*(1+D111)^1*('DCF_PYPL'!$B$5*(1-'DCF_PYPL'!$B$6)+'DCF_PYPL'!$B$7-'DCF_PYPL'!$B$8)-'DCF_PYPL'!$B$3*(1+D111)^0*D111*'DCF_PYPL'!$B$9)/(1+'DCF_PYPL'!$B$10)^1+('DCF_PYPL'!$B$3*(1+D111)^2*('DCF_PYPL'!$B$5*(1-'DCF_PYPL'!$B$6)+'DCF_PYPL'!$B$7-'DCF_PYPL'!$B$8)-'DCF_PYPL'!$B$3*(1+D111)^1*D111*'DCF_PYPL'!$B$9)/(1+'DCF_PYPL'!$B$10)^2+('DCF_PYPL'!$B$3*(1+D111)^3*('DCF_PYPL'!$B$5*(1-'DCF_PYPL'!$B$6)+'DCF_PYPL'!$B$7-'DCF_PYPL'!$B$8)-'DCF_PYPL'!$B$3*(1+D111)^2*D111*'DCF_PYPL'!$B$9)/(1+'DCF_PYPL'!$B$10)^3+('DCF_PYPL'!$B$3*(1+D111)^4*('DCF_PYPL'!$B$5*(1-'DCF_PYPL'!$B$6)+'DCF_PYPL'!$B$7-'DCF_PYPL'!$B$8)-'DCF_PYPL'!$B$3*(1+D111)^3*D111*'DCF_PYPL'!$B$9)/(1+'DCF_PYPL'!$B$10)^4+('DCF_PYPL'!$B$3*(1+D111)^5*('DCF_PYPL'!$B$5*(1-'DCF_PYPL'!$B$6)+'DCF_PYPL'!$B$7-'DCF_PYPL'!$B$8)-'DCF_PYPL'!$B$3*(1+D111)^4*D111*'DCF_PYPL'!$B$9)/(1+'DCF_PYPL'!$B$10)^5+('DCF_PYPL'!$B$3*(1+D111)^5*(1+'DCF_PYPL'!$B$11)*('DCF_PYPL'!$B$5*(1-'DCF_PYPL'!$B$6)+'DCF_PYPL'!$B$7-'DCF_PYPL'!$B$8)-'DCF_PYPL'!$B$3*(1+D111)^5*'DCF_PYPL'!$B$11*'DCF_PYPL'!$B$9)/('DCF_PYPL'!$B$10-'DCF_PYPL'!$B$11)/(1+'DCF_PYPL'!$B$10)^5-'DCF_PYPL'!$B$13)/'DCF_PYPL'!$B$12))</f>
        <v/>
      </c>
    </row>
    <row r="112" spans="1:5" x14ac:dyDescent="0.25">
      <c r="A112" s="4">
        <v>40</v>
      </c>
      <c r="B112" s="4" t="str">
        <f>IF($B$4="","",IF(E111&lt;$B$4,D111,B111))</f>
        <v/>
      </c>
      <c r="C112" s="4" t="str">
        <f>IF($B$4="","",IF(E111&lt;$B$4,C111,D111))</f>
        <v/>
      </c>
      <c r="D112" s="4" t="str">
        <f>IF($B$4="","",(B112+C112)/2)</f>
        <v/>
      </c>
      <c r="E112" s="4" t="str">
        <f>IF($B$4="","",((('DCF_PYPL'!$B$3*(1+D112)^1*('DCF_PYPL'!$B$5*(1-'DCF_PYPL'!$B$6)+'DCF_PYPL'!$B$7-'DCF_PYPL'!$B$8)-'DCF_PYPL'!$B$3*(1+D112)^0*D112*'DCF_PYPL'!$B$9)/(1+'DCF_PYPL'!$B$10)^1+('DCF_PYPL'!$B$3*(1+D112)^2*('DCF_PYPL'!$B$5*(1-'DCF_PYPL'!$B$6)+'DCF_PYPL'!$B$7-'DCF_PYPL'!$B$8)-'DCF_PYPL'!$B$3*(1+D112)^1*D112*'DCF_PYPL'!$B$9)/(1+'DCF_PYPL'!$B$10)^2+('DCF_PYPL'!$B$3*(1+D112)^3*('DCF_PYPL'!$B$5*(1-'DCF_PYPL'!$B$6)+'DCF_PYPL'!$B$7-'DCF_PYPL'!$B$8)-'DCF_PYPL'!$B$3*(1+D112)^2*D112*'DCF_PYPL'!$B$9)/(1+'DCF_PYPL'!$B$10)^3+('DCF_PYPL'!$B$3*(1+D112)^4*('DCF_PYPL'!$B$5*(1-'DCF_PYPL'!$B$6)+'DCF_PYPL'!$B$7-'DCF_PYPL'!$B$8)-'DCF_PYPL'!$B$3*(1+D112)^3*D112*'DCF_PYPL'!$B$9)/(1+'DCF_PYPL'!$B$10)^4+('DCF_PYPL'!$B$3*(1+D112)^5*('DCF_PYPL'!$B$5*(1-'DCF_PYPL'!$B$6)+'DCF_PYPL'!$B$7-'DCF_PYPL'!$B$8)-'DCF_PYPL'!$B$3*(1+D112)^4*D112*'DCF_PYPL'!$B$9)/(1+'DCF_PYPL'!$B$10)^5+('DCF_PYPL'!$B$3*(1+D112)^5*(1+'DCF_PYPL'!$B$11)*('DCF_PYPL'!$B$5*(1-'DCF_PYPL'!$B$6)+'DCF_PYPL'!$B$7-'DCF_PYPL'!$B$8)-'DCF_PYPL'!$B$3*(1+D112)^5*'DCF_PYPL'!$B$11*'DCF_PYPL'!$B$9)/('DCF_PYPL'!$B$10-'DCF_PYPL'!$B$11)/(1+'DCF_PYPL'!$B$10)^5-'DCF_PYPL'!$B$13)/'DCF_PYPL'!$B$12))</f>
        <v/>
      </c>
    </row>
    <row r="113" spans="1:5" x14ac:dyDescent="0.25">
      <c r="A113" s="4">
        <v>41</v>
      </c>
      <c r="B113" s="4" t="str">
        <f>IF($B$4="","",IF(E112&lt;$B$4,D112,B112))</f>
        <v/>
      </c>
      <c r="C113" s="4" t="str">
        <f>IF($B$4="","",IF(E112&lt;$B$4,C112,D112))</f>
        <v/>
      </c>
      <c r="D113" s="4" t="str">
        <f>IF($B$4="","",(B113+C113)/2)</f>
        <v/>
      </c>
      <c r="E113" s="4" t="str">
        <f>IF($B$4="","",((('DCF_PYPL'!$B$3*(1+D113)^1*('DCF_PYPL'!$B$5*(1-'DCF_PYPL'!$B$6)+'DCF_PYPL'!$B$7-'DCF_PYPL'!$B$8)-'DCF_PYPL'!$B$3*(1+D113)^0*D113*'DCF_PYPL'!$B$9)/(1+'DCF_PYPL'!$B$10)^1+('DCF_PYPL'!$B$3*(1+D113)^2*('DCF_PYPL'!$B$5*(1-'DCF_PYPL'!$B$6)+'DCF_PYPL'!$B$7-'DCF_PYPL'!$B$8)-'DCF_PYPL'!$B$3*(1+D113)^1*D113*'DCF_PYPL'!$B$9)/(1+'DCF_PYPL'!$B$10)^2+('DCF_PYPL'!$B$3*(1+D113)^3*('DCF_PYPL'!$B$5*(1-'DCF_PYPL'!$B$6)+'DCF_PYPL'!$B$7-'DCF_PYPL'!$B$8)-'DCF_PYPL'!$B$3*(1+D113)^2*D113*'DCF_PYPL'!$B$9)/(1+'DCF_PYPL'!$B$10)^3+('DCF_PYPL'!$B$3*(1+D113)^4*('DCF_PYPL'!$B$5*(1-'DCF_PYPL'!$B$6)+'DCF_PYPL'!$B$7-'DCF_PYPL'!$B$8)-'DCF_PYPL'!$B$3*(1+D113)^3*D113*'DCF_PYPL'!$B$9)/(1+'DCF_PYPL'!$B$10)^4+('DCF_PYPL'!$B$3*(1+D113)^5*('DCF_PYPL'!$B$5*(1-'DCF_PYPL'!$B$6)+'DCF_PYPL'!$B$7-'DCF_PYPL'!$B$8)-'DCF_PYPL'!$B$3*(1+D113)^4*D113*'DCF_PYPL'!$B$9)/(1+'DCF_PYPL'!$B$10)^5+('DCF_PYPL'!$B$3*(1+D113)^5*(1+'DCF_PYPL'!$B$11)*('DCF_PYPL'!$B$5*(1-'DCF_PYPL'!$B$6)+'DCF_PYPL'!$B$7-'DCF_PYPL'!$B$8)-'DCF_PYPL'!$B$3*(1+D113)^5*'DCF_PYPL'!$B$11*'DCF_PYPL'!$B$9)/('DCF_PYPL'!$B$10-'DCF_PYPL'!$B$11)/(1+'DCF_PYPL'!$B$10)^5-'DCF_PYPL'!$B$13)/'DCF_PYPL'!$B$12))</f>
        <v/>
      </c>
    </row>
    <row r="114" spans="1:5" x14ac:dyDescent="0.25">
      <c r="A114" s="4">
        <v>42</v>
      </c>
      <c r="B114" s="4" t="str">
        <f>IF($B$4="","",IF(E113&lt;$B$4,D113,B113))</f>
        <v/>
      </c>
      <c r="C114" s="4" t="str">
        <f>IF($B$4="","",IF(E113&lt;$B$4,C113,D113))</f>
        <v/>
      </c>
      <c r="D114" s="4" t="str">
        <f>IF($B$4="","",(B114+C114)/2)</f>
        <v/>
      </c>
      <c r="E114" s="4" t="str">
        <f>IF($B$4="","",((('DCF_PYPL'!$B$3*(1+D114)^1*('DCF_PYPL'!$B$5*(1-'DCF_PYPL'!$B$6)+'DCF_PYPL'!$B$7-'DCF_PYPL'!$B$8)-'DCF_PYPL'!$B$3*(1+D114)^0*D114*'DCF_PYPL'!$B$9)/(1+'DCF_PYPL'!$B$10)^1+('DCF_PYPL'!$B$3*(1+D114)^2*('DCF_PYPL'!$B$5*(1-'DCF_PYPL'!$B$6)+'DCF_PYPL'!$B$7-'DCF_PYPL'!$B$8)-'DCF_PYPL'!$B$3*(1+D114)^1*D114*'DCF_PYPL'!$B$9)/(1+'DCF_PYPL'!$B$10)^2+('DCF_PYPL'!$B$3*(1+D114)^3*('DCF_PYPL'!$B$5*(1-'DCF_PYPL'!$B$6)+'DCF_PYPL'!$B$7-'DCF_PYPL'!$B$8)-'DCF_PYPL'!$B$3*(1+D114)^2*D114*'DCF_PYPL'!$B$9)/(1+'DCF_PYPL'!$B$10)^3+('DCF_PYPL'!$B$3*(1+D114)^4*('DCF_PYPL'!$B$5*(1-'DCF_PYPL'!$B$6)+'DCF_PYPL'!$B$7-'DCF_PYPL'!$B$8)-'DCF_PYPL'!$B$3*(1+D114)^3*D114*'DCF_PYPL'!$B$9)/(1+'DCF_PYPL'!$B$10)^4+('DCF_PYPL'!$B$3*(1+D114)^5*('DCF_PYPL'!$B$5*(1-'DCF_PYPL'!$B$6)+'DCF_PYPL'!$B$7-'DCF_PYPL'!$B$8)-'DCF_PYPL'!$B$3*(1+D114)^4*D114*'DCF_PYPL'!$B$9)/(1+'DCF_PYPL'!$B$10)^5+('DCF_PYPL'!$B$3*(1+D114)^5*(1+'DCF_PYPL'!$B$11)*('DCF_PYPL'!$B$5*(1-'DCF_PYPL'!$B$6)+'DCF_PYPL'!$B$7-'DCF_PYPL'!$B$8)-'DCF_PYPL'!$B$3*(1+D114)^5*'DCF_PYPL'!$B$11*'DCF_PYPL'!$B$9)/('DCF_PYPL'!$B$10-'DCF_PYPL'!$B$11)/(1+'DCF_PYPL'!$B$10)^5-'DCF_PYPL'!$B$13)/'DCF_PYPL'!$B$12))</f>
        <v/>
      </c>
    </row>
    <row r="115" spans="1:5" x14ac:dyDescent="0.25">
      <c r="A115" s="4">
        <v>43</v>
      </c>
      <c r="B115" s="4" t="str">
        <f>IF($B$4="","",IF(E114&lt;$B$4,D114,B114))</f>
        <v/>
      </c>
      <c r="C115" s="4" t="str">
        <f>IF($B$4="","",IF(E114&lt;$B$4,C114,D114))</f>
        <v/>
      </c>
      <c r="D115" s="4" t="str">
        <f>IF($B$4="","",(B115+C115)/2)</f>
        <v/>
      </c>
      <c r="E115" s="4" t="str">
        <f>IF($B$4="","",((('DCF_PYPL'!$B$3*(1+D115)^1*('DCF_PYPL'!$B$5*(1-'DCF_PYPL'!$B$6)+'DCF_PYPL'!$B$7-'DCF_PYPL'!$B$8)-'DCF_PYPL'!$B$3*(1+D115)^0*D115*'DCF_PYPL'!$B$9)/(1+'DCF_PYPL'!$B$10)^1+('DCF_PYPL'!$B$3*(1+D115)^2*('DCF_PYPL'!$B$5*(1-'DCF_PYPL'!$B$6)+'DCF_PYPL'!$B$7-'DCF_PYPL'!$B$8)-'DCF_PYPL'!$B$3*(1+D115)^1*D115*'DCF_PYPL'!$B$9)/(1+'DCF_PYPL'!$B$10)^2+('DCF_PYPL'!$B$3*(1+D115)^3*('DCF_PYPL'!$B$5*(1-'DCF_PYPL'!$B$6)+'DCF_PYPL'!$B$7-'DCF_PYPL'!$B$8)-'DCF_PYPL'!$B$3*(1+D115)^2*D115*'DCF_PYPL'!$B$9)/(1+'DCF_PYPL'!$B$10)^3+('DCF_PYPL'!$B$3*(1+D115)^4*('DCF_PYPL'!$B$5*(1-'DCF_PYPL'!$B$6)+'DCF_PYPL'!$B$7-'DCF_PYPL'!$B$8)-'DCF_PYPL'!$B$3*(1+D115)^3*D115*'DCF_PYPL'!$B$9)/(1+'DCF_PYPL'!$B$10)^4+('DCF_PYPL'!$B$3*(1+D115)^5*('DCF_PYPL'!$B$5*(1-'DCF_PYPL'!$B$6)+'DCF_PYPL'!$B$7-'DCF_PYPL'!$B$8)-'DCF_PYPL'!$B$3*(1+D115)^4*D115*'DCF_PYPL'!$B$9)/(1+'DCF_PYPL'!$B$10)^5+('DCF_PYPL'!$B$3*(1+D115)^5*(1+'DCF_PYPL'!$B$11)*('DCF_PYPL'!$B$5*(1-'DCF_PYPL'!$B$6)+'DCF_PYPL'!$B$7-'DCF_PYPL'!$B$8)-'DCF_PYPL'!$B$3*(1+D115)^5*'DCF_PYPL'!$B$11*'DCF_PYPL'!$B$9)/('DCF_PYPL'!$B$10-'DCF_PYPL'!$B$11)/(1+'DCF_PYPL'!$B$10)^5-'DCF_PYPL'!$B$13)/'DCF_PYPL'!$B$12))</f>
        <v/>
      </c>
    </row>
    <row r="116" spans="1:5" x14ac:dyDescent="0.25">
      <c r="A116" s="4">
        <v>44</v>
      </c>
      <c r="B116" s="4" t="str">
        <f>IF($B$4="","",IF(E115&lt;$B$4,D115,B115))</f>
        <v/>
      </c>
      <c r="C116" s="4" t="str">
        <f>IF($B$4="","",IF(E115&lt;$B$4,C115,D115))</f>
        <v/>
      </c>
      <c r="D116" s="4" t="str">
        <f>IF($B$4="","",(B116+C116)/2)</f>
        <v/>
      </c>
      <c r="E116" s="4" t="str">
        <f>IF($B$4="","",((('DCF_PYPL'!$B$3*(1+D116)^1*('DCF_PYPL'!$B$5*(1-'DCF_PYPL'!$B$6)+'DCF_PYPL'!$B$7-'DCF_PYPL'!$B$8)-'DCF_PYPL'!$B$3*(1+D116)^0*D116*'DCF_PYPL'!$B$9)/(1+'DCF_PYPL'!$B$10)^1+('DCF_PYPL'!$B$3*(1+D116)^2*('DCF_PYPL'!$B$5*(1-'DCF_PYPL'!$B$6)+'DCF_PYPL'!$B$7-'DCF_PYPL'!$B$8)-'DCF_PYPL'!$B$3*(1+D116)^1*D116*'DCF_PYPL'!$B$9)/(1+'DCF_PYPL'!$B$10)^2+('DCF_PYPL'!$B$3*(1+D116)^3*('DCF_PYPL'!$B$5*(1-'DCF_PYPL'!$B$6)+'DCF_PYPL'!$B$7-'DCF_PYPL'!$B$8)-'DCF_PYPL'!$B$3*(1+D116)^2*D116*'DCF_PYPL'!$B$9)/(1+'DCF_PYPL'!$B$10)^3+('DCF_PYPL'!$B$3*(1+D116)^4*('DCF_PYPL'!$B$5*(1-'DCF_PYPL'!$B$6)+'DCF_PYPL'!$B$7-'DCF_PYPL'!$B$8)-'DCF_PYPL'!$B$3*(1+D116)^3*D116*'DCF_PYPL'!$B$9)/(1+'DCF_PYPL'!$B$10)^4+('DCF_PYPL'!$B$3*(1+D116)^5*('DCF_PYPL'!$B$5*(1-'DCF_PYPL'!$B$6)+'DCF_PYPL'!$B$7-'DCF_PYPL'!$B$8)-'DCF_PYPL'!$B$3*(1+D116)^4*D116*'DCF_PYPL'!$B$9)/(1+'DCF_PYPL'!$B$10)^5+('DCF_PYPL'!$B$3*(1+D116)^5*(1+'DCF_PYPL'!$B$11)*('DCF_PYPL'!$B$5*(1-'DCF_PYPL'!$B$6)+'DCF_PYPL'!$B$7-'DCF_PYPL'!$B$8)-'DCF_PYPL'!$B$3*(1+D116)^5*'DCF_PYPL'!$B$11*'DCF_PYPL'!$B$9)/('DCF_PYPL'!$B$10-'DCF_PYPL'!$B$11)/(1+'DCF_PYPL'!$B$10)^5-'DCF_PYPL'!$B$13)/'DCF_PYPL'!$B$12))</f>
        <v/>
      </c>
    </row>
    <row r="117" spans="1:5" x14ac:dyDescent="0.25">
      <c r="A117" s="4">
        <v>45</v>
      </c>
      <c r="B117" s="4" t="str">
        <f>IF($B$4="","",IF(E116&lt;$B$4,D116,B116))</f>
        <v/>
      </c>
      <c r="C117" s="4" t="str">
        <f>IF($B$4="","",IF(E116&lt;$B$4,C116,D116))</f>
        <v/>
      </c>
      <c r="D117" s="4" t="str">
        <f>IF($B$4="","",(B117+C117)/2)</f>
        <v/>
      </c>
      <c r="E117" s="4" t="str">
        <f>IF($B$4="","",((('DCF_PYPL'!$B$3*(1+D117)^1*('DCF_PYPL'!$B$5*(1-'DCF_PYPL'!$B$6)+'DCF_PYPL'!$B$7-'DCF_PYPL'!$B$8)-'DCF_PYPL'!$B$3*(1+D117)^0*D117*'DCF_PYPL'!$B$9)/(1+'DCF_PYPL'!$B$10)^1+('DCF_PYPL'!$B$3*(1+D117)^2*('DCF_PYPL'!$B$5*(1-'DCF_PYPL'!$B$6)+'DCF_PYPL'!$B$7-'DCF_PYPL'!$B$8)-'DCF_PYPL'!$B$3*(1+D117)^1*D117*'DCF_PYPL'!$B$9)/(1+'DCF_PYPL'!$B$10)^2+('DCF_PYPL'!$B$3*(1+D117)^3*('DCF_PYPL'!$B$5*(1-'DCF_PYPL'!$B$6)+'DCF_PYPL'!$B$7-'DCF_PYPL'!$B$8)-'DCF_PYPL'!$B$3*(1+D117)^2*D117*'DCF_PYPL'!$B$9)/(1+'DCF_PYPL'!$B$10)^3+('DCF_PYPL'!$B$3*(1+D117)^4*('DCF_PYPL'!$B$5*(1-'DCF_PYPL'!$B$6)+'DCF_PYPL'!$B$7-'DCF_PYPL'!$B$8)-'DCF_PYPL'!$B$3*(1+D117)^3*D117*'DCF_PYPL'!$B$9)/(1+'DCF_PYPL'!$B$10)^4+('DCF_PYPL'!$B$3*(1+D117)^5*('DCF_PYPL'!$B$5*(1-'DCF_PYPL'!$B$6)+'DCF_PYPL'!$B$7-'DCF_PYPL'!$B$8)-'DCF_PYPL'!$B$3*(1+D117)^4*D117*'DCF_PYPL'!$B$9)/(1+'DCF_PYPL'!$B$10)^5+('DCF_PYPL'!$B$3*(1+D117)^5*(1+'DCF_PYPL'!$B$11)*('DCF_PYPL'!$B$5*(1-'DCF_PYPL'!$B$6)+'DCF_PYPL'!$B$7-'DCF_PYPL'!$B$8)-'DCF_PYPL'!$B$3*(1+D117)^5*'DCF_PYPL'!$B$11*'DCF_PYPL'!$B$9)/('DCF_PYPL'!$B$10-'DCF_PYPL'!$B$11)/(1+'DCF_PYPL'!$B$10)^5-'DCF_PYPL'!$B$13)/'DCF_PYPL'!$B$12))</f>
        <v/>
      </c>
    </row>
    <row r="118" spans="1:5" x14ac:dyDescent="0.25">
      <c r="A118" s="4">
        <v>46</v>
      </c>
      <c r="B118" s="4" t="str">
        <f>IF($B$4="","",IF(E117&lt;$B$4,D117,B117))</f>
        <v/>
      </c>
      <c r="C118" s="4" t="str">
        <f>IF($B$4="","",IF(E117&lt;$B$4,C117,D117))</f>
        <v/>
      </c>
      <c r="D118" s="4" t="str">
        <f>IF($B$4="","",(B118+C118)/2)</f>
        <v/>
      </c>
      <c r="E118" s="4" t="str">
        <f>IF($B$4="","",((('DCF_PYPL'!$B$3*(1+D118)^1*('DCF_PYPL'!$B$5*(1-'DCF_PYPL'!$B$6)+'DCF_PYPL'!$B$7-'DCF_PYPL'!$B$8)-'DCF_PYPL'!$B$3*(1+D118)^0*D118*'DCF_PYPL'!$B$9)/(1+'DCF_PYPL'!$B$10)^1+('DCF_PYPL'!$B$3*(1+D118)^2*('DCF_PYPL'!$B$5*(1-'DCF_PYPL'!$B$6)+'DCF_PYPL'!$B$7-'DCF_PYPL'!$B$8)-'DCF_PYPL'!$B$3*(1+D118)^1*D118*'DCF_PYPL'!$B$9)/(1+'DCF_PYPL'!$B$10)^2+('DCF_PYPL'!$B$3*(1+D118)^3*('DCF_PYPL'!$B$5*(1-'DCF_PYPL'!$B$6)+'DCF_PYPL'!$B$7-'DCF_PYPL'!$B$8)-'DCF_PYPL'!$B$3*(1+D118)^2*D118*'DCF_PYPL'!$B$9)/(1+'DCF_PYPL'!$B$10)^3+('DCF_PYPL'!$B$3*(1+D118)^4*('DCF_PYPL'!$B$5*(1-'DCF_PYPL'!$B$6)+'DCF_PYPL'!$B$7-'DCF_PYPL'!$B$8)-'DCF_PYPL'!$B$3*(1+D118)^3*D118*'DCF_PYPL'!$B$9)/(1+'DCF_PYPL'!$B$10)^4+('DCF_PYPL'!$B$3*(1+D118)^5*('DCF_PYPL'!$B$5*(1-'DCF_PYPL'!$B$6)+'DCF_PYPL'!$B$7-'DCF_PYPL'!$B$8)-'DCF_PYPL'!$B$3*(1+D118)^4*D118*'DCF_PYPL'!$B$9)/(1+'DCF_PYPL'!$B$10)^5+('DCF_PYPL'!$B$3*(1+D118)^5*(1+'DCF_PYPL'!$B$11)*('DCF_PYPL'!$B$5*(1-'DCF_PYPL'!$B$6)+'DCF_PYPL'!$B$7-'DCF_PYPL'!$B$8)-'DCF_PYPL'!$B$3*(1+D118)^5*'DCF_PYPL'!$B$11*'DCF_PYPL'!$B$9)/('DCF_PYPL'!$B$10-'DCF_PYPL'!$B$11)/(1+'DCF_PYPL'!$B$10)^5-'DCF_PYPL'!$B$13)/'DCF_PYPL'!$B$12))</f>
        <v/>
      </c>
    </row>
    <row r="119" spans="1:5" x14ac:dyDescent="0.25">
      <c r="A119" s="4">
        <v>47</v>
      </c>
      <c r="B119" s="4" t="str">
        <f>IF($B$4="","",IF(E118&lt;$B$4,D118,B118))</f>
        <v/>
      </c>
      <c r="C119" s="4" t="str">
        <f>IF($B$4="","",IF(E118&lt;$B$4,C118,D118))</f>
        <v/>
      </c>
      <c r="D119" s="4" t="str">
        <f>IF($B$4="","",(B119+C119)/2)</f>
        <v/>
      </c>
      <c r="E119" s="4" t="str">
        <f>IF($B$4="","",((('DCF_PYPL'!$B$3*(1+D119)^1*('DCF_PYPL'!$B$5*(1-'DCF_PYPL'!$B$6)+'DCF_PYPL'!$B$7-'DCF_PYPL'!$B$8)-'DCF_PYPL'!$B$3*(1+D119)^0*D119*'DCF_PYPL'!$B$9)/(1+'DCF_PYPL'!$B$10)^1+('DCF_PYPL'!$B$3*(1+D119)^2*('DCF_PYPL'!$B$5*(1-'DCF_PYPL'!$B$6)+'DCF_PYPL'!$B$7-'DCF_PYPL'!$B$8)-'DCF_PYPL'!$B$3*(1+D119)^1*D119*'DCF_PYPL'!$B$9)/(1+'DCF_PYPL'!$B$10)^2+('DCF_PYPL'!$B$3*(1+D119)^3*('DCF_PYPL'!$B$5*(1-'DCF_PYPL'!$B$6)+'DCF_PYPL'!$B$7-'DCF_PYPL'!$B$8)-'DCF_PYPL'!$B$3*(1+D119)^2*D119*'DCF_PYPL'!$B$9)/(1+'DCF_PYPL'!$B$10)^3+('DCF_PYPL'!$B$3*(1+D119)^4*('DCF_PYPL'!$B$5*(1-'DCF_PYPL'!$B$6)+'DCF_PYPL'!$B$7-'DCF_PYPL'!$B$8)-'DCF_PYPL'!$B$3*(1+D119)^3*D119*'DCF_PYPL'!$B$9)/(1+'DCF_PYPL'!$B$10)^4+('DCF_PYPL'!$B$3*(1+D119)^5*('DCF_PYPL'!$B$5*(1-'DCF_PYPL'!$B$6)+'DCF_PYPL'!$B$7-'DCF_PYPL'!$B$8)-'DCF_PYPL'!$B$3*(1+D119)^4*D119*'DCF_PYPL'!$B$9)/(1+'DCF_PYPL'!$B$10)^5+('DCF_PYPL'!$B$3*(1+D119)^5*(1+'DCF_PYPL'!$B$11)*('DCF_PYPL'!$B$5*(1-'DCF_PYPL'!$B$6)+'DCF_PYPL'!$B$7-'DCF_PYPL'!$B$8)-'DCF_PYPL'!$B$3*(1+D119)^5*'DCF_PYPL'!$B$11*'DCF_PYPL'!$B$9)/('DCF_PYPL'!$B$10-'DCF_PYPL'!$B$11)/(1+'DCF_PYPL'!$B$10)^5-'DCF_PYPL'!$B$13)/'DCF_PYPL'!$B$12))</f>
        <v/>
      </c>
    </row>
    <row r="120" spans="1:5" x14ac:dyDescent="0.25">
      <c r="A120" s="4">
        <v>48</v>
      </c>
      <c r="B120" s="4" t="str">
        <f>IF($B$4="","",IF(E119&lt;$B$4,D119,B119))</f>
        <v/>
      </c>
      <c r="C120" s="4" t="str">
        <f>IF($B$4="","",IF(E119&lt;$B$4,C119,D119))</f>
        <v/>
      </c>
      <c r="D120" s="4" t="str">
        <f>IF($B$4="","",(B120+C120)/2)</f>
        <v/>
      </c>
      <c r="E120" s="4" t="str">
        <f>IF($B$4="","",((('DCF_PYPL'!$B$3*(1+D120)^1*('DCF_PYPL'!$B$5*(1-'DCF_PYPL'!$B$6)+'DCF_PYPL'!$B$7-'DCF_PYPL'!$B$8)-'DCF_PYPL'!$B$3*(1+D120)^0*D120*'DCF_PYPL'!$B$9)/(1+'DCF_PYPL'!$B$10)^1+('DCF_PYPL'!$B$3*(1+D120)^2*('DCF_PYPL'!$B$5*(1-'DCF_PYPL'!$B$6)+'DCF_PYPL'!$B$7-'DCF_PYPL'!$B$8)-'DCF_PYPL'!$B$3*(1+D120)^1*D120*'DCF_PYPL'!$B$9)/(1+'DCF_PYPL'!$B$10)^2+('DCF_PYPL'!$B$3*(1+D120)^3*('DCF_PYPL'!$B$5*(1-'DCF_PYPL'!$B$6)+'DCF_PYPL'!$B$7-'DCF_PYPL'!$B$8)-'DCF_PYPL'!$B$3*(1+D120)^2*D120*'DCF_PYPL'!$B$9)/(1+'DCF_PYPL'!$B$10)^3+('DCF_PYPL'!$B$3*(1+D120)^4*('DCF_PYPL'!$B$5*(1-'DCF_PYPL'!$B$6)+'DCF_PYPL'!$B$7-'DCF_PYPL'!$B$8)-'DCF_PYPL'!$B$3*(1+D120)^3*D120*'DCF_PYPL'!$B$9)/(1+'DCF_PYPL'!$B$10)^4+('DCF_PYPL'!$B$3*(1+D120)^5*('DCF_PYPL'!$B$5*(1-'DCF_PYPL'!$B$6)+'DCF_PYPL'!$B$7-'DCF_PYPL'!$B$8)-'DCF_PYPL'!$B$3*(1+D120)^4*D120*'DCF_PYPL'!$B$9)/(1+'DCF_PYPL'!$B$10)^5+('DCF_PYPL'!$B$3*(1+D120)^5*(1+'DCF_PYPL'!$B$11)*('DCF_PYPL'!$B$5*(1-'DCF_PYPL'!$B$6)+'DCF_PYPL'!$B$7-'DCF_PYPL'!$B$8)-'DCF_PYPL'!$B$3*(1+D120)^5*'DCF_PYPL'!$B$11*'DCF_PYPL'!$B$9)/('DCF_PYPL'!$B$10-'DCF_PYPL'!$B$11)/(1+'DCF_PYPL'!$B$10)^5-'DCF_PYPL'!$B$13)/'DCF_PYPL'!$B$12))</f>
        <v/>
      </c>
    </row>
    <row r="121" spans="1:5" x14ac:dyDescent="0.25">
      <c r="A121" s="4">
        <v>49</v>
      </c>
      <c r="B121" s="4" t="str">
        <f>IF($B$4="","",IF(E120&lt;$B$4,D120,B120))</f>
        <v/>
      </c>
      <c r="C121" s="4" t="str">
        <f>IF($B$4="","",IF(E120&lt;$B$4,C120,D120))</f>
        <v/>
      </c>
      <c r="D121" s="4" t="str">
        <f>IF($B$4="","",(B121+C121)/2)</f>
        <v/>
      </c>
      <c r="E121" s="4" t="str">
        <f>IF($B$4="","",((('DCF_PYPL'!$B$3*(1+D121)^1*('DCF_PYPL'!$B$5*(1-'DCF_PYPL'!$B$6)+'DCF_PYPL'!$B$7-'DCF_PYPL'!$B$8)-'DCF_PYPL'!$B$3*(1+D121)^0*D121*'DCF_PYPL'!$B$9)/(1+'DCF_PYPL'!$B$10)^1+('DCF_PYPL'!$B$3*(1+D121)^2*('DCF_PYPL'!$B$5*(1-'DCF_PYPL'!$B$6)+'DCF_PYPL'!$B$7-'DCF_PYPL'!$B$8)-'DCF_PYPL'!$B$3*(1+D121)^1*D121*'DCF_PYPL'!$B$9)/(1+'DCF_PYPL'!$B$10)^2+('DCF_PYPL'!$B$3*(1+D121)^3*('DCF_PYPL'!$B$5*(1-'DCF_PYPL'!$B$6)+'DCF_PYPL'!$B$7-'DCF_PYPL'!$B$8)-'DCF_PYPL'!$B$3*(1+D121)^2*D121*'DCF_PYPL'!$B$9)/(1+'DCF_PYPL'!$B$10)^3+('DCF_PYPL'!$B$3*(1+D121)^4*('DCF_PYPL'!$B$5*(1-'DCF_PYPL'!$B$6)+'DCF_PYPL'!$B$7-'DCF_PYPL'!$B$8)-'DCF_PYPL'!$B$3*(1+D121)^3*D121*'DCF_PYPL'!$B$9)/(1+'DCF_PYPL'!$B$10)^4+('DCF_PYPL'!$B$3*(1+D121)^5*('DCF_PYPL'!$B$5*(1-'DCF_PYPL'!$B$6)+'DCF_PYPL'!$B$7-'DCF_PYPL'!$B$8)-'DCF_PYPL'!$B$3*(1+D121)^4*D121*'DCF_PYPL'!$B$9)/(1+'DCF_PYPL'!$B$10)^5+('DCF_PYPL'!$B$3*(1+D121)^5*(1+'DCF_PYPL'!$B$11)*('DCF_PYPL'!$B$5*(1-'DCF_PYPL'!$B$6)+'DCF_PYPL'!$B$7-'DCF_PYPL'!$B$8)-'DCF_PYPL'!$B$3*(1+D121)^5*'DCF_PYPL'!$B$11*'DCF_PYPL'!$B$9)/('DCF_PYPL'!$B$10-'DCF_PYPL'!$B$11)/(1+'DCF_PYPL'!$B$10)^5-'DCF_PYPL'!$B$13)/'DCF_PYPL'!$B$12))</f>
        <v/>
      </c>
    </row>
    <row r="122" spans="1:5" x14ac:dyDescent="0.25">
      <c r="A122" s="4">
        <v>50</v>
      </c>
      <c r="B122" s="4" t="str">
        <f>IF($B$4="","",IF(E121&lt;$B$4,D121,B121))</f>
        <v/>
      </c>
      <c r="C122" s="4" t="str">
        <f>IF($B$4="","",IF(E121&lt;$B$4,C121,D121))</f>
        <v/>
      </c>
      <c r="D122" s="4" t="str">
        <f>IF($B$4="","",(B122+C122)/2)</f>
        <v/>
      </c>
      <c r="E122" s="4" t="str">
        <f>IF($B$4="","",((('DCF_PYPL'!$B$3*(1+D122)^1*('DCF_PYPL'!$B$5*(1-'DCF_PYPL'!$B$6)+'DCF_PYPL'!$B$7-'DCF_PYPL'!$B$8)-'DCF_PYPL'!$B$3*(1+D122)^0*D122*'DCF_PYPL'!$B$9)/(1+'DCF_PYPL'!$B$10)^1+('DCF_PYPL'!$B$3*(1+D122)^2*('DCF_PYPL'!$B$5*(1-'DCF_PYPL'!$B$6)+'DCF_PYPL'!$B$7-'DCF_PYPL'!$B$8)-'DCF_PYPL'!$B$3*(1+D122)^1*D122*'DCF_PYPL'!$B$9)/(1+'DCF_PYPL'!$B$10)^2+('DCF_PYPL'!$B$3*(1+D122)^3*('DCF_PYPL'!$B$5*(1-'DCF_PYPL'!$B$6)+'DCF_PYPL'!$B$7-'DCF_PYPL'!$B$8)-'DCF_PYPL'!$B$3*(1+D122)^2*D122*'DCF_PYPL'!$B$9)/(1+'DCF_PYPL'!$B$10)^3+('DCF_PYPL'!$B$3*(1+D122)^4*('DCF_PYPL'!$B$5*(1-'DCF_PYPL'!$B$6)+'DCF_PYPL'!$B$7-'DCF_PYPL'!$B$8)-'DCF_PYPL'!$B$3*(1+D122)^3*D122*'DCF_PYPL'!$B$9)/(1+'DCF_PYPL'!$B$10)^4+('DCF_PYPL'!$B$3*(1+D122)^5*('DCF_PYPL'!$B$5*(1-'DCF_PYPL'!$B$6)+'DCF_PYPL'!$B$7-'DCF_PYPL'!$B$8)-'DCF_PYPL'!$B$3*(1+D122)^4*D122*'DCF_PYPL'!$B$9)/(1+'DCF_PYPL'!$B$10)^5+('DCF_PYPL'!$B$3*(1+D122)^5*(1+'DCF_PYPL'!$B$11)*('DCF_PYPL'!$B$5*(1-'DCF_PYPL'!$B$6)+'DCF_PYPL'!$B$7-'DCF_PYPL'!$B$8)-'DCF_PYPL'!$B$3*(1+D122)^5*'DCF_PYPL'!$B$11*'DCF_PYPL'!$B$9)/('DCF_PYPL'!$B$10-'DCF_PYPL'!$B$11)/(1+'DCF_PYPL'!$B$10)^5-'DCF_PYPL'!$B$13)/'DCF_PYPL'!$B$12))</f>
        <v/>
      </c>
    </row>
    <row r="123" spans="1:5" x14ac:dyDescent="0.25">
      <c r="A123" s="4">
        <v>51</v>
      </c>
      <c r="B123" s="4" t="str">
        <f>IF($B$4="","",IF(E122&lt;$B$4,D122,B122))</f>
        <v/>
      </c>
      <c r="C123" s="4" t="str">
        <f>IF($B$4="","",IF(E122&lt;$B$4,C122,D122))</f>
        <v/>
      </c>
      <c r="D123" s="4" t="str">
        <f>IF($B$4="","",(B123+C123)/2)</f>
        <v/>
      </c>
      <c r="E123" s="4" t="str">
        <f>IF($B$4="","",((('DCF_PYPL'!$B$3*(1+D123)^1*('DCF_PYPL'!$B$5*(1-'DCF_PYPL'!$B$6)+'DCF_PYPL'!$B$7-'DCF_PYPL'!$B$8)-'DCF_PYPL'!$B$3*(1+D123)^0*D123*'DCF_PYPL'!$B$9)/(1+'DCF_PYPL'!$B$10)^1+('DCF_PYPL'!$B$3*(1+D123)^2*('DCF_PYPL'!$B$5*(1-'DCF_PYPL'!$B$6)+'DCF_PYPL'!$B$7-'DCF_PYPL'!$B$8)-'DCF_PYPL'!$B$3*(1+D123)^1*D123*'DCF_PYPL'!$B$9)/(1+'DCF_PYPL'!$B$10)^2+('DCF_PYPL'!$B$3*(1+D123)^3*('DCF_PYPL'!$B$5*(1-'DCF_PYPL'!$B$6)+'DCF_PYPL'!$B$7-'DCF_PYPL'!$B$8)-'DCF_PYPL'!$B$3*(1+D123)^2*D123*'DCF_PYPL'!$B$9)/(1+'DCF_PYPL'!$B$10)^3+('DCF_PYPL'!$B$3*(1+D123)^4*('DCF_PYPL'!$B$5*(1-'DCF_PYPL'!$B$6)+'DCF_PYPL'!$B$7-'DCF_PYPL'!$B$8)-'DCF_PYPL'!$B$3*(1+D123)^3*D123*'DCF_PYPL'!$B$9)/(1+'DCF_PYPL'!$B$10)^4+('DCF_PYPL'!$B$3*(1+D123)^5*('DCF_PYPL'!$B$5*(1-'DCF_PYPL'!$B$6)+'DCF_PYPL'!$B$7-'DCF_PYPL'!$B$8)-'DCF_PYPL'!$B$3*(1+D123)^4*D123*'DCF_PYPL'!$B$9)/(1+'DCF_PYPL'!$B$10)^5+('DCF_PYPL'!$B$3*(1+D123)^5*(1+'DCF_PYPL'!$B$11)*('DCF_PYPL'!$B$5*(1-'DCF_PYPL'!$B$6)+'DCF_PYPL'!$B$7-'DCF_PYPL'!$B$8)-'DCF_PYPL'!$B$3*(1+D123)^5*'DCF_PYPL'!$B$11*'DCF_PYPL'!$B$9)/('DCF_PYPL'!$B$10-'DCF_PYPL'!$B$11)/(1+'DCF_PYPL'!$B$10)^5-'DCF_PYPL'!$B$13)/'DCF_PYPL'!$B$12))</f>
        <v/>
      </c>
    </row>
    <row r="124" spans="1:5" x14ac:dyDescent="0.25">
      <c r="A124" s="4">
        <v>52</v>
      </c>
      <c r="B124" s="4" t="str">
        <f>IF($B$4="","",IF(E123&lt;$B$4,D123,B123))</f>
        <v/>
      </c>
      <c r="C124" s="4" t="str">
        <f>IF($B$4="","",IF(E123&lt;$B$4,C123,D123))</f>
        <v/>
      </c>
      <c r="D124" s="4" t="str">
        <f>IF($B$4="","",(B124+C124)/2)</f>
        <v/>
      </c>
      <c r="E124" s="4" t="str">
        <f>IF($B$4="","",((('DCF_PYPL'!$B$3*(1+D124)^1*('DCF_PYPL'!$B$5*(1-'DCF_PYPL'!$B$6)+'DCF_PYPL'!$B$7-'DCF_PYPL'!$B$8)-'DCF_PYPL'!$B$3*(1+D124)^0*D124*'DCF_PYPL'!$B$9)/(1+'DCF_PYPL'!$B$10)^1+('DCF_PYPL'!$B$3*(1+D124)^2*('DCF_PYPL'!$B$5*(1-'DCF_PYPL'!$B$6)+'DCF_PYPL'!$B$7-'DCF_PYPL'!$B$8)-'DCF_PYPL'!$B$3*(1+D124)^1*D124*'DCF_PYPL'!$B$9)/(1+'DCF_PYPL'!$B$10)^2+('DCF_PYPL'!$B$3*(1+D124)^3*('DCF_PYPL'!$B$5*(1-'DCF_PYPL'!$B$6)+'DCF_PYPL'!$B$7-'DCF_PYPL'!$B$8)-'DCF_PYPL'!$B$3*(1+D124)^2*D124*'DCF_PYPL'!$B$9)/(1+'DCF_PYPL'!$B$10)^3+('DCF_PYPL'!$B$3*(1+D124)^4*('DCF_PYPL'!$B$5*(1-'DCF_PYPL'!$B$6)+'DCF_PYPL'!$B$7-'DCF_PYPL'!$B$8)-'DCF_PYPL'!$B$3*(1+D124)^3*D124*'DCF_PYPL'!$B$9)/(1+'DCF_PYPL'!$B$10)^4+('DCF_PYPL'!$B$3*(1+D124)^5*('DCF_PYPL'!$B$5*(1-'DCF_PYPL'!$B$6)+'DCF_PYPL'!$B$7-'DCF_PYPL'!$B$8)-'DCF_PYPL'!$B$3*(1+D124)^4*D124*'DCF_PYPL'!$B$9)/(1+'DCF_PYPL'!$B$10)^5+('DCF_PYPL'!$B$3*(1+D124)^5*(1+'DCF_PYPL'!$B$11)*('DCF_PYPL'!$B$5*(1-'DCF_PYPL'!$B$6)+'DCF_PYPL'!$B$7-'DCF_PYPL'!$B$8)-'DCF_PYPL'!$B$3*(1+D124)^5*'DCF_PYPL'!$B$11*'DCF_PYPL'!$B$9)/('DCF_PYPL'!$B$10-'DCF_PYPL'!$B$11)/(1+'DCF_PYPL'!$B$10)^5-'DCF_PYPL'!$B$13)/'DCF_PYPL'!$B$12))</f>
        <v/>
      </c>
    </row>
    <row r="125" spans="1:5" x14ac:dyDescent="0.25">
      <c r="A125" s="4">
        <v>53</v>
      </c>
      <c r="B125" s="4" t="str">
        <f>IF($B$4="","",IF(E124&lt;$B$4,D124,B124))</f>
        <v/>
      </c>
      <c r="C125" s="4" t="str">
        <f>IF($B$4="","",IF(E124&lt;$B$4,C124,D124))</f>
        <v/>
      </c>
      <c r="D125" s="4" t="str">
        <f>IF($B$4="","",(B125+C125)/2)</f>
        <v/>
      </c>
      <c r="E125" s="4" t="str">
        <f>IF($B$4="","",((('DCF_PYPL'!$B$3*(1+D125)^1*('DCF_PYPL'!$B$5*(1-'DCF_PYPL'!$B$6)+'DCF_PYPL'!$B$7-'DCF_PYPL'!$B$8)-'DCF_PYPL'!$B$3*(1+D125)^0*D125*'DCF_PYPL'!$B$9)/(1+'DCF_PYPL'!$B$10)^1+('DCF_PYPL'!$B$3*(1+D125)^2*('DCF_PYPL'!$B$5*(1-'DCF_PYPL'!$B$6)+'DCF_PYPL'!$B$7-'DCF_PYPL'!$B$8)-'DCF_PYPL'!$B$3*(1+D125)^1*D125*'DCF_PYPL'!$B$9)/(1+'DCF_PYPL'!$B$10)^2+('DCF_PYPL'!$B$3*(1+D125)^3*('DCF_PYPL'!$B$5*(1-'DCF_PYPL'!$B$6)+'DCF_PYPL'!$B$7-'DCF_PYPL'!$B$8)-'DCF_PYPL'!$B$3*(1+D125)^2*D125*'DCF_PYPL'!$B$9)/(1+'DCF_PYPL'!$B$10)^3+('DCF_PYPL'!$B$3*(1+D125)^4*('DCF_PYPL'!$B$5*(1-'DCF_PYPL'!$B$6)+'DCF_PYPL'!$B$7-'DCF_PYPL'!$B$8)-'DCF_PYPL'!$B$3*(1+D125)^3*D125*'DCF_PYPL'!$B$9)/(1+'DCF_PYPL'!$B$10)^4+('DCF_PYPL'!$B$3*(1+D125)^5*('DCF_PYPL'!$B$5*(1-'DCF_PYPL'!$B$6)+'DCF_PYPL'!$B$7-'DCF_PYPL'!$B$8)-'DCF_PYPL'!$B$3*(1+D125)^4*D125*'DCF_PYPL'!$B$9)/(1+'DCF_PYPL'!$B$10)^5+('DCF_PYPL'!$B$3*(1+D125)^5*(1+'DCF_PYPL'!$B$11)*('DCF_PYPL'!$B$5*(1-'DCF_PYPL'!$B$6)+'DCF_PYPL'!$B$7-'DCF_PYPL'!$B$8)-'DCF_PYPL'!$B$3*(1+D125)^5*'DCF_PYPL'!$B$11*'DCF_PYPL'!$B$9)/('DCF_PYPL'!$B$10-'DCF_PYPL'!$B$11)/(1+'DCF_PYPL'!$B$10)^5-'DCF_PYPL'!$B$13)/'DCF_PYPL'!$B$12))</f>
        <v/>
      </c>
    </row>
    <row r="126" spans="1:5" x14ac:dyDescent="0.25">
      <c r="A126" s="4">
        <v>54</v>
      </c>
      <c r="B126" s="4" t="str">
        <f>IF($B$4="","",IF(E125&lt;$B$4,D125,B125))</f>
        <v/>
      </c>
      <c r="C126" s="4" t="str">
        <f>IF($B$4="","",IF(E125&lt;$B$4,C125,D125))</f>
        <v/>
      </c>
      <c r="D126" s="4" t="str">
        <f>IF($B$4="","",(B126+C126)/2)</f>
        <v/>
      </c>
      <c r="E126" s="4" t="str">
        <f>IF($B$4="","",((('DCF_PYPL'!$B$3*(1+D126)^1*('DCF_PYPL'!$B$5*(1-'DCF_PYPL'!$B$6)+'DCF_PYPL'!$B$7-'DCF_PYPL'!$B$8)-'DCF_PYPL'!$B$3*(1+D126)^0*D126*'DCF_PYPL'!$B$9)/(1+'DCF_PYPL'!$B$10)^1+('DCF_PYPL'!$B$3*(1+D126)^2*('DCF_PYPL'!$B$5*(1-'DCF_PYPL'!$B$6)+'DCF_PYPL'!$B$7-'DCF_PYPL'!$B$8)-'DCF_PYPL'!$B$3*(1+D126)^1*D126*'DCF_PYPL'!$B$9)/(1+'DCF_PYPL'!$B$10)^2+('DCF_PYPL'!$B$3*(1+D126)^3*('DCF_PYPL'!$B$5*(1-'DCF_PYPL'!$B$6)+'DCF_PYPL'!$B$7-'DCF_PYPL'!$B$8)-'DCF_PYPL'!$B$3*(1+D126)^2*D126*'DCF_PYPL'!$B$9)/(1+'DCF_PYPL'!$B$10)^3+('DCF_PYPL'!$B$3*(1+D126)^4*('DCF_PYPL'!$B$5*(1-'DCF_PYPL'!$B$6)+'DCF_PYPL'!$B$7-'DCF_PYPL'!$B$8)-'DCF_PYPL'!$B$3*(1+D126)^3*D126*'DCF_PYPL'!$B$9)/(1+'DCF_PYPL'!$B$10)^4+('DCF_PYPL'!$B$3*(1+D126)^5*('DCF_PYPL'!$B$5*(1-'DCF_PYPL'!$B$6)+'DCF_PYPL'!$B$7-'DCF_PYPL'!$B$8)-'DCF_PYPL'!$B$3*(1+D126)^4*D126*'DCF_PYPL'!$B$9)/(1+'DCF_PYPL'!$B$10)^5+('DCF_PYPL'!$B$3*(1+D126)^5*(1+'DCF_PYPL'!$B$11)*('DCF_PYPL'!$B$5*(1-'DCF_PYPL'!$B$6)+'DCF_PYPL'!$B$7-'DCF_PYPL'!$B$8)-'DCF_PYPL'!$B$3*(1+D126)^5*'DCF_PYPL'!$B$11*'DCF_PYPL'!$B$9)/('DCF_PYPL'!$B$10-'DCF_PYPL'!$B$11)/(1+'DCF_PYPL'!$B$10)^5-'DCF_PYPL'!$B$13)/'DCF_PYPL'!$B$12))</f>
        <v/>
      </c>
    </row>
    <row r="127" spans="1:5" x14ac:dyDescent="0.25">
      <c r="A127" s="4">
        <v>55</v>
      </c>
      <c r="B127" s="4" t="str">
        <f>IF($B$4="","",IF(E126&lt;$B$4,D126,B126))</f>
        <v/>
      </c>
      <c r="C127" s="4" t="str">
        <f>IF($B$4="","",IF(E126&lt;$B$4,C126,D126))</f>
        <v/>
      </c>
      <c r="D127" s="4" t="str">
        <f>IF($B$4="","",(B127+C127)/2)</f>
        <v/>
      </c>
      <c r="E127" s="4" t="str">
        <f>IF($B$4="","",((('DCF_PYPL'!$B$3*(1+D127)^1*('DCF_PYPL'!$B$5*(1-'DCF_PYPL'!$B$6)+'DCF_PYPL'!$B$7-'DCF_PYPL'!$B$8)-'DCF_PYPL'!$B$3*(1+D127)^0*D127*'DCF_PYPL'!$B$9)/(1+'DCF_PYPL'!$B$10)^1+('DCF_PYPL'!$B$3*(1+D127)^2*('DCF_PYPL'!$B$5*(1-'DCF_PYPL'!$B$6)+'DCF_PYPL'!$B$7-'DCF_PYPL'!$B$8)-'DCF_PYPL'!$B$3*(1+D127)^1*D127*'DCF_PYPL'!$B$9)/(1+'DCF_PYPL'!$B$10)^2+('DCF_PYPL'!$B$3*(1+D127)^3*('DCF_PYPL'!$B$5*(1-'DCF_PYPL'!$B$6)+'DCF_PYPL'!$B$7-'DCF_PYPL'!$B$8)-'DCF_PYPL'!$B$3*(1+D127)^2*D127*'DCF_PYPL'!$B$9)/(1+'DCF_PYPL'!$B$10)^3+('DCF_PYPL'!$B$3*(1+D127)^4*('DCF_PYPL'!$B$5*(1-'DCF_PYPL'!$B$6)+'DCF_PYPL'!$B$7-'DCF_PYPL'!$B$8)-'DCF_PYPL'!$B$3*(1+D127)^3*D127*'DCF_PYPL'!$B$9)/(1+'DCF_PYPL'!$B$10)^4+('DCF_PYPL'!$B$3*(1+D127)^5*('DCF_PYPL'!$B$5*(1-'DCF_PYPL'!$B$6)+'DCF_PYPL'!$B$7-'DCF_PYPL'!$B$8)-'DCF_PYPL'!$B$3*(1+D127)^4*D127*'DCF_PYPL'!$B$9)/(1+'DCF_PYPL'!$B$10)^5+('DCF_PYPL'!$B$3*(1+D127)^5*(1+'DCF_PYPL'!$B$11)*('DCF_PYPL'!$B$5*(1-'DCF_PYPL'!$B$6)+'DCF_PYPL'!$B$7-'DCF_PYPL'!$B$8)-'DCF_PYPL'!$B$3*(1+D127)^5*'DCF_PYPL'!$B$11*'DCF_PYPL'!$B$9)/('DCF_PYPL'!$B$10-'DCF_PYPL'!$B$11)/(1+'DCF_PYPL'!$B$10)^5-'DCF_PYPL'!$B$13)/'DCF_PYPL'!$B$12))</f>
        <v/>
      </c>
    </row>
    <row r="128" spans="1:5" x14ac:dyDescent="0.25">
      <c r="A128" s="4">
        <v>56</v>
      </c>
      <c r="B128" s="4" t="str">
        <f>IF($B$4="","",IF(E127&lt;$B$4,D127,B127))</f>
        <v/>
      </c>
      <c r="C128" s="4" t="str">
        <f>IF($B$4="","",IF(E127&lt;$B$4,C127,D127))</f>
        <v/>
      </c>
      <c r="D128" s="4" t="str">
        <f>IF($B$4="","",(B128+C128)/2)</f>
        <v/>
      </c>
      <c r="E128" s="4" t="str">
        <f>IF($B$4="","",((('DCF_PYPL'!$B$3*(1+D128)^1*('DCF_PYPL'!$B$5*(1-'DCF_PYPL'!$B$6)+'DCF_PYPL'!$B$7-'DCF_PYPL'!$B$8)-'DCF_PYPL'!$B$3*(1+D128)^0*D128*'DCF_PYPL'!$B$9)/(1+'DCF_PYPL'!$B$10)^1+('DCF_PYPL'!$B$3*(1+D128)^2*('DCF_PYPL'!$B$5*(1-'DCF_PYPL'!$B$6)+'DCF_PYPL'!$B$7-'DCF_PYPL'!$B$8)-'DCF_PYPL'!$B$3*(1+D128)^1*D128*'DCF_PYPL'!$B$9)/(1+'DCF_PYPL'!$B$10)^2+('DCF_PYPL'!$B$3*(1+D128)^3*('DCF_PYPL'!$B$5*(1-'DCF_PYPL'!$B$6)+'DCF_PYPL'!$B$7-'DCF_PYPL'!$B$8)-'DCF_PYPL'!$B$3*(1+D128)^2*D128*'DCF_PYPL'!$B$9)/(1+'DCF_PYPL'!$B$10)^3+('DCF_PYPL'!$B$3*(1+D128)^4*('DCF_PYPL'!$B$5*(1-'DCF_PYPL'!$B$6)+'DCF_PYPL'!$B$7-'DCF_PYPL'!$B$8)-'DCF_PYPL'!$B$3*(1+D128)^3*D128*'DCF_PYPL'!$B$9)/(1+'DCF_PYPL'!$B$10)^4+('DCF_PYPL'!$B$3*(1+D128)^5*('DCF_PYPL'!$B$5*(1-'DCF_PYPL'!$B$6)+'DCF_PYPL'!$B$7-'DCF_PYPL'!$B$8)-'DCF_PYPL'!$B$3*(1+D128)^4*D128*'DCF_PYPL'!$B$9)/(1+'DCF_PYPL'!$B$10)^5+('DCF_PYPL'!$B$3*(1+D128)^5*(1+'DCF_PYPL'!$B$11)*('DCF_PYPL'!$B$5*(1-'DCF_PYPL'!$B$6)+'DCF_PYPL'!$B$7-'DCF_PYPL'!$B$8)-'DCF_PYPL'!$B$3*(1+D128)^5*'DCF_PYPL'!$B$11*'DCF_PYPL'!$B$9)/('DCF_PYPL'!$B$10-'DCF_PYPL'!$B$11)/(1+'DCF_PYPL'!$B$10)^5-'DCF_PYPL'!$B$13)/'DCF_PYPL'!$B$12))</f>
        <v/>
      </c>
    </row>
    <row r="129" spans="1:5" x14ac:dyDescent="0.25">
      <c r="A129" s="4">
        <v>57</v>
      </c>
      <c r="B129" s="4" t="str">
        <f>IF($B$4="","",IF(E128&lt;$B$4,D128,B128))</f>
        <v/>
      </c>
      <c r="C129" s="4" t="str">
        <f>IF($B$4="","",IF(E128&lt;$B$4,C128,D128))</f>
        <v/>
      </c>
      <c r="D129" s="4" t="str">
        <f>IF($B$4="","",(B129+C129)/2)</f>
        <v/>
      </c>
      <c r="E129" s="4" t="str">
        <f>IF($B$4="","",((('DCF_PYPL'!$B$3*(1+D129)^1*('DCF_PYPL'!$B$5*(1-'DCF_PYPL'!$B$6)+'DCF_PYPL'!$B$7-'DCF_PYPL'!$B$8)-'DCF_PYPL'!$B$3*(1+D129)^0*D129*'DCF_PYPL'!$B$9)/(1+'DCF_PYPL'!$B$10)^1+('DCF_PYPL'!$B$3*(1+D129)^2*('DCF_PYPL'!$B$5*(1-'DCF_PYPL'!$B$6)+'DCF_PYPL'!$B$7-'DCF_PYPL'!$B$8)-'DCF_PYPL'!$B$3*(1+D129)^1*D129*'DCF_PYPL'!$B$9)/(1+'DCF_PYPL'!$B$10)^2+('DCF_PYPL'!$B$3*(1+D129)^3*('DCF_PYPL'!$B$5*(1-'DCF_PYPL'!$B$6)+'DCF_PYPL'!$B$7-'DCF_PYPL'!$B$8)-'DCF_PYPL'!$B$3*(1+D129)^2*D129*'DCF_PYPL'!$B$9)/(1+'DCF_PYPL'!$B$10)^3+('DCF_PYPL'!$B$3*(1+D129)^4*('DCF_PYPL'!$B$5*(1-'DCF_PYPL'!$B$6)+'DCF_PYPL'!$B$7-'DCF_PYPL'!$B$8)-'DCF_PYPL'!$B$3*(1+D129)^3*D129*'DCF_PYPL'!$B$9)/(1+'DCF_PYPL'!$B$10)^4+('DCF_PYPL'!$B$3*(1+D129)^5*('DCF_PYPL'!$B$5*(1-'DCF_PYPL'!$B$6)+'DCF_PYPL'!$B$7-'DCF_PYPL'!$B$8)-'DCF_PYPL'!$B$3*(1+D129)^4*D129*'DCF_PYPL'!$B$9)/(1+'DCF_PYPL'!$B$10)^5+('DCF_PYPL'!$B$3*(1+D129)^5*(1+'DCF_PYPL'!$B$11)*('DCF_PYPL'!$B$5*(1-'DCF_PYPL'!$B$6)+'DCF_PYPL'!$B$7-'DCF_PYPL'!$B$8)-'DCF_PYPL'!$B$3*(1+D129)^5*'DCF_PYPL'!$B$11*'DCF_PYPL'!$B$9)/('DCF_PYPL'!$B$10-'DCF_PYPL'!$B$11)/(1+'DCF_PYPL'!$B$10)^5-'DCF_PYPL'!$B$13)/'DCF_PYPL'!$B$12))</f>
        <v/>
      </c>
    </row>
    <row r="130" spans="1:5" x14ac:dyDescent="0.25">
      <c r="A130" s="4">
        <v>58</v>
      </c>
      <c r="B130" s="4" t="str">
        <f>IF($B$4="","",IF(E129&lt;$B$4,D129,B129))</f>
        <v/>
      </c>
      <c r="C130" s="4" t="str">
        <f>IF($B$4="","",IF(E129&lt;$B$4,C129,D129))</f>
        <v/>
      </c>
      <c r="D130" s="4" t="str">
        <f>IF($B$4="","",(B130+C130)/2)</f>
        <v/>
      </c>
      <c r="E130" s="4" t="str">
        <f>IF($B$4="","",((('DCF_PYPL'!$B$3*(1+D130)^1*('DCF_PYPL'!$B$5*(1-'DCF_PYPL'!$B$6)+'DCF_PYPL'!$B$7-'DCF_PYPL'!$B$8)-'DCF_PYPL'!$B$3*(1+D130)^0*D130*'DCF_PYPL'!$B$9)/(1+'DCF_PYPL'!$B$10)^1+('DCF_PYPL'!$B$3*(1+D130)^2*('DCF_PYPL'!$B$5*(1-'DCF_PYPL'!$B$6)+'DCF_PYPL'!$B$7-'DCF_PYPL'!$B$8)-'DCF_PYPL'!$B$3*(1+D130)^1*D130*'DCF_PYPL'!$B$9)/(1+'DCF_PYPL'!$B$10)^2+('DCF_PYPL'!$B$3*(1+D130)^3*('DCF_PYPL'!$B$5*(1-'DCF_PYPL'!$B$6)+'DCF_PYPL'!$B$7-'DCF_PYPL'!$B$8)-'DCF_PYPL'!$B$3*(1+D130)^2*D130*'DCF_PYPL'!$B$9)/(1+'DCF_PYPL'!$B$10)^3+('DCF_PYPL'!$B$3*(1+D130)^4*('DCF_PYPL'!$B$5*(1-'DCF_PYPL'!$B$6)+'DCF_PYPL'!$B$7-'DCF_PYPL'!$B$8)-'DCF_PYPL'!$B$3*(1+D130)^3*D130*'DCF_PYPL'!$B$9)/(1+'DCF_PYPL'!$B$10)^4+('DCF_PYPL'!$B$3*(1+D130)^5*('DCF_PYPL'!$B$5*(1-'DCF_PYPL'!$B$6)+'DCF_PYPL'!$B$7-'DCF_PYPL'!$B$8)-'DCF_PYPL'!$B$3*(1+D130)^4*D130*'DCF_PYPL'!$B$9)/(1+'DCF_PYPL'!$B$10)^5+('DCF_PYPL'!$B$3*(1+D130)^5*(1+'DCF_PYPL'!$B$11)*('DCF_PYPL'!$B$5*(1-'DCF_PYPL'!$B$6)+'DCF_PYPL'!$B$7-'DCF_PYPL'!$B$8)-'DCF_PYPL'!$B$3*(1+D130)^5*'DCF_PYPL'!$B$11*'DCF_PYPL'!$B$9)/('DCF_PYPL'!$B$10-'DCF_PYPL'!$B$11)/(1+'DCF_PYPL'!$B$10)^5-'DCF_PYPL'!$B$13)/'DCF_PYPL'!$B$12))</f>
        <v/>
      </c>
    </row>
    <row r="131" spans="1:5" x14ac:dyDescent="0.25">
      <c r="A131" s="4">
        <v>59</v>
      </c>
      <c r="B131" s="4" t="str">
        <f>IF($B$4="","",IF(E130&lt;$B$4,D130,B130))</f>
        <v/>
      </c>
      <c r="C131" s="4" t="str">
        <f>IF($B$4="","",IF(E130&lt;$B$4,C130,D130))</f>
        <v/>
      </c>
      <c r="D131" s="4" t="str">
        <f>IF($B$4="","",(B131+C131)/2)</f>
        <v/>
      </c>
      <c r="E131" s="4" t="str">
        <f>IF($B$4="","",((('DCF_PYPL'!$B$3*(1+D131)^1*('DCF_PYPL'!$B$5*(1-'DCF_PYPL'!$B$6)+'DCF_PYPL'!$B$7-'DCF_PYPL'!$B$8)-'DCF_PYPL'!$B$3*(1+D131)^0*D131*'DCF_PYPL'!$B$9)/(1+'DCF_PYPL'!$B$10)^1+('DCF_PYPL'!$B$3*(1+D131)^2*('DCF_PYPL'!$B$5*(1-'DCF_PYPL'!$B$6)+'DCF_PYPL'!$B$7-'DCF_PYPL'!$B$8)-'DCF_PYPL'!$B$3*(1+D131)^1*D131*'DCF_PYPL'!$B$9)/(1+'DCF_PYPL'!$B$10)^2+('DCF_PYPL'!$B$3*(1+D131)^3*('DCF_PYPL'!$B$5*(1-'DCF_PYPL'!$B$6)+'DCF_PYPL'!$B$7-'DCF_PYPL'!$B$8)-'DCF_PYPL'!$B$3*(1+D131)^2*D131*'DCF_PYPL'!$B$9)/(1+'DCF_PYPL'!$B$10)^3+('DCF_PYPL'!$B$3*(1+D131)^4*('DCF_PYPL'!$B$5*(1-'DCF_PYPL'!$B$6)+'DCF_PYPL'!$B$7-'DCF_PYPL'!$B$8)-'DCF_PYPL'!$B$3*(1+D131)^3*D131*'DCF_PYPL'!$B$9)/(1+'DCF_PYPL'!$B$10)^4+('DCF_PYPL'!$B$3*(1+D131)^5*('DCF_PYPL'!$B$5*(1-'DCF_PYPL'!$B$6)+'DCF_PYPL'!$B$7-'DCF_PYPL'!$B$8)-'DCF_PYPL'!$B$3*(1+D131)^4*D131*'DCF_PYPL'!$B$9)/(1+'DCF_PYPL'!$B$10)^5+('DCF_PYPL'!$B$3*(1+D131)^5*(1+'DCF_PYPL'!$B$11)*('DCF_PYPL'!$B$5*(1-'DCF_PYPL'!$B$6)+'DCF_PYPL'!$B$7-'DCF_PYPL'!$B$8)-'DCF_PYPL'!$B$3*(1+D131)^5*'DCF_PYPL'!$B$11*'DCF_PYPL'!$B$9)/('DCF_PYPL'!$B$10-'DCF_PYPL'!$B$11)/(1+'DCF_PYPL'!$B$10)^5-'DCF_PYPL'!$B$13)/'DCF_PYPL'!$B$12))</f>
        <v/>
      </c>
    </row>
    <row r="132" spans="1:5" x14ac:dyDescent="0.25">
      <c r="A132" s="4">
        <v>60</v>
      </c>
      <c r="B132" s="4" t="str">
        <f>IF($B$4="","",IF(E131&lt;$B$4,D131,B131))</f>
        <v/>
      </c>
      <c r="C132" s="4" t="str">
        <f>IF($B$4="","",IF(E131&lt;$B$4,C131,D131))</f>
        <v/>
      </c>
      <c r="D132" s="4" t="str">
        <f>IF($B$4="","",(B132+C132)/2)</f>
        <v/>
      </c>
      <c r="E132" s="4" t="str">
        <f>IF($B$4="","",((('DCF_PYPL'!$B$3*(1+D132)^1*('DCF_PYPL'!$B$5*(1-'DCF_PYPL'!$B$6)+'DCF_PYPL'!$B$7-'DCF_PYPL'!$B$8)-'DCF_PYPL'!$B$3*(1+D132)^0*D132*'DCF_PYPL'!$B$9)/(1+'DCF_PYPL'!$B$10)^1+('DCF_PYPL'!$B$3*(1+D132)^2*('DCF_PYPL'!$B$5*(1-'DCF_PYPL'!$B$6)+'DCF_PYPL'!$B$7-'DCF_PYPL'!$B$8)-'DCF_PYPL'!$B$3*(1+D132)^1*D132*'DCF_PYPL'!$B$9)/(1+'DCF_PYPL'!$B$10)^2+('DCF_PYPL'!$B$3*(1+D132)^3*('DCF_PYPL'!$B$5*(1-'DCF_PYPL'!$B$6)+'DCF_PYPL'!$B$7-'DCF_PYPL'!$B$8)-'DCF_PYPL'!$B$3*(1+D132)^2*D132*'DCF_PYPL'!$B$9)/(1+'DCF_PYPL'!$B$10)^3+('DCF_PYPL'!$B$3*(1+D132)^4*('DCF_PYPL'!$B$5*(1-'DCF_PYPL'!$B$6)+'DCF_PYPL'!$B$7-'DCF_PYPL'!$B$8)-'DCF_PYPL'!$B$3*(1+D132)^3*D132*'DCF_PYPL'!$B$9)/(1+'DCF_PYPL'!$B$10)^4+('DCF_PYPL'!$B$3*(1+D132)^5*('DCF_PYPL'!$B$5*(1-'DCF_PYPL'!$B$6)+'DCF_PYPL'!$B$7-'DCF_PYPL'!$B$8)-'DCF_PYPL'!$B$3*(1+D132)^4*D132*'DCF_PYPL'!$B$9)/(1+'DCF_PYPL'!$B$10)^5+('DCF_PYPL'!$B$3*(1+D132)^5*(1+'DCF_PYPL'!$B$11)*('DCF_PYPL'!$B$5*(1-'DCF_PYPL'!$B$6)+'DCF_PYPL'!$B$7-'DCF_PYPL'!$B$8)-'DCF_PYPL'!$B$3*(1+D132)^5*'DCF_PYPL'!$B$11*'DCF_PYPL'!$B$9)/('DCF_PYPL'!$B$10-'DCF_PYPL'!$B$11)/(1+'DCF_PYPL'!$B$10)^5-'DCF_PYPL'!$B$13)/'DCF_PYPL'!$B$12))</f>
        <v/>
      </c>
    </row>
    <row r="136" spans="1:5" x14ac:dyDescent="0.25">
      <c r="A136" s="4" t="s">
        <v>833</v>
      </c>
      <c r="B136" s="4" t="s">
        <v>1235</v>
      </c>
      <c r="C136" s="4" t="s">
        <v>1236</v>
      </c>
      <c r="D136" s="4" t="s">
        <v>1237</v>
      </c>
      <c r="E136" s="4" t="s">
        <v>1238</v>
      </c>
    </row>
    <row r="137" spans="1:5" x14ac:dyDescent="0.25">
      <c r="A137" s="4">
        <v>1</v>
      </c>
      <c r="B137" s="4">
        <v>-0.45</v>
      </c>
      <c r="C137" s="4">
        <v>0.5</v>
      </c>
      <c r="D137" s="4" t="str">
        <f>IF($B$5="","",(B137+C137)/2)</f>
        <v/>
      </c>
      <c r="E137" s="4" t="str">
        <f>IF($B$5="","",((('DCF_NKE'!$B$3*(1+D137)^1*('DCF_NKE'!$B$5*(1-'DCF_NKE'!$B$6)+'DCF_NKE'!$B$7-'DCF_NKE'!$B$8)-'DCF_NKE'!$B$3*(1+D137)^0*D137*'DCF_NKE'!$B$9)/(1+'DCF_NKE'!$B$10)^1+('DCF_NKE'!$B$3*(1+D137)^2*('DCF_NKE'!$B$5*(1-'DCF_NKE'!$B$6)+'DCF_NKE'!$B$7-'DCF_NKE'!$B$8)-'DCF_NKE'!$B$3*(1+D137)^1*D137*'DCF_NKE'!$B$9)/(1+'DCF_NKE'!$B$10)^2+('DCF_NKE'!$B$3*(1+D137)^3*('DCF_NKE'!$B$5*(1-'DCF_NKE'!$B$6)+'DCF_NKE'!$B$7-'DCF_NKE'!$B$8)-'DCF_NKE'!$B$3*(1+D137)^2*D137*'DCF_NKE'!$B$9)/(1+'DCF_NKE'!$B$10)^3+('DCF_NKE'!$B$3*(1+D137)^4*('DCF_NKE'!$B$5*(1-'DCF_NKE'!$B$6)+'DCF_NKE'!$B$7-'DCF_NKE'!$B$8)-'DCF_NKE'!$B$3*(1+D137)^3*D137*'DCF_NKE'!$B$9)/(1+'DCF_NKE'!$B$10)^4+('DCF_NKE'!$B$3*(1+D137)^5*('DCF_NKE'!$B$5*(1-'DCF_NKE'!$B$6)+'DCF_NKE'!$B$7-'DCF_NKE'!$B$8)-'DCF_NKE'!$B$3*(1+D137)^4*D137*'DCF_NKE'!$B$9)/(1+'DCF_NKE'!$B$10)^5+('DCF_NKE'!$B$3*(1+D137)^5*(1+'DCF_NKE'!$B$11)*('DCF_NKE'!$B$5*(1-'DCF_NKE'!$B$6)+'DCF_NKE'!$B$7-'DCF_NKE'!$B$8)-'DCF_NKE'!$B$3*(1+D137)^5*'DCF_NKE'!$B$11*'DCF_NKE'!$B$9)/('DCF_NKE'!$B$10-'DCF_NKE'!$B$11)/(1+'DCF_NKE'!$B$10)^5-'DCF_NKE'!$B$13)/'DCF_NKE'!$B$12))</f>
        <v/>
      </c>
    </row>
    <row r="138" spans="1:5" x14ac:dyDescent="0.25">
      <c r="A138" s="4">
        <v>2</v>
      </c>
      <c r="B138" s="4" t="str">
        <f>IF($B$5="","",IF(E137&lt;$B$5,D137,B137))</f>
        <v/>
      </c>
      <c r="C138" s="4" t="str">
        <f>IF($B$5="","",IF(E137&lt;$B$5,C137,D137))</f>
        <v/>
      </c>
      <c r="D138" s="4" t="str">
        <f>IF($B$5="","",(B138+C138)/2)</f>
        <v/>
      </c>
      <c r="E138" s="4" t="str">
        <f>IF($B$5="","",((('DCF_NKE'!$B$3*(1+D138)^1*('DCF_NKE'!$B$5*(1-'DCF_NKE'!$B$6)+'DCF_NKE'!$B$7-'DCF_NKE'!$B$8)-'DCF_NKE'!$B$3*(1+D138)^0*D138*'DCF_NKE'!$B$9)/(1+'DCF_NKE'!$B$10)^1+('DCF_NKE'!$B$3*(1+D138)^2*('DCF_NKE'!$B$5*(1-'DCF_NKE'!$B$6)+'DCF_NKE'!$B$7-'DCF_NKE'!$B$8)-'DCF_NKE'!$B$3*(1+D138)^1*D138*'DCF_NKE'!$B$9)/(1+'DCF_NKE'!$B$10)^2+('DCF_NKE'!$B$3*(1+D138)^3*('DCF_NKE'!$B$5*(1-'DCF_NKE'!$B$6)+'DCF_NKE'!$B$7-'DCF_NKE'!$B$8)-'DCF_NKE'!$B$3*(1+D138)^2*D138*'DCF_NKE'!$B$9)/(1+'DCF_NKE'!$B$10)^3+('DCF_NKE'!$B$3*(1+D138)^4*('DCF_NKE'!$B$5*(1-'DCF_NKE'!$B$6)+'DCF_NKE'!$B$7-'DCF_NKE'!$B$8)-'DCF_NKE'!$B$3*(1+D138)^3*D138*'DCF_NKE'!$B$9)/(1+'DCF_NKE'!$B$10)^4+('DCF_NKE'!$B$3*(1+D138)^5*('DCF_NKE'!$B$5*(1-'DCF_NKE'!$B$6)+'DCF_NKE'!$B$7-'DCF_NKE'!$B$8)-'DCF_NKE'!$B$3*(1+D138)^4*D138*'DCF_NKE'!$B$9)/(1+'DCF_NKE'!$B$10)^5+('DCF_NKE'!$B$3*(1+D138)^5*(1+'DCF_NKE'!$B$11)*('DCF_NKE'!$B$5*(1-'DCF_NKE'!$B$6)+'DCF_NKE'!$B$7-'DCF_NKE'!$B$8)-'DCF_NKE'!$B$3*(1+D138)^5*'DCF_NKE'!$B$11*'DCF_NKE'!$B$9)/('DCF_NKE'!$B$10-'DCF_NKE'!$B$11)/(1+'DCF_NKE'!$B$10)^5-'DCF_NKE'!$B$13)/'DCF_NKE'!$B$12))</f>
        <v/>
      </c>
    </row>
    <row r="139" spans="1:5" x14ac:dyDescent="0.25">
      <c r="A139" s="4">
        <v>3</v>
      </c>
      <c r="B139" s="4" t="str">
        <f>IF($B$5="","",IF(E138&lt;$B$5,D138,B138))</f>
        <v/>
      </c>
      <c r="C139" s="4" t="str">
        <f>IF($B$5="","",IF(E138&lt;$B$5,C138,D138))</f>
        <v/>
      </c>
      <c r="D139" s="4" t="str">
        <f>IF($B$5="","",(B139+C139)/2)</f>
        <v/>
      </c>
      <c r="E139" s="4" t="str">
        <f>IF($B$5="","",((('DCF_NKE'!$B$3*(1+D139)^1*('DCF_NKE'!$B$5*(1-'DCF_NKE'!$B$6)+'DCF_NKE'!$B$7-'DCF_NKE'!$B$8)-'DCF_NKE'!$B$3*(1+D139)^0*D139*'DCF_NKE'!$B$9)/(1+'DCF_NKE'!$B$10)^1+('DCF_NKE'!$B$3*(1+D139)^2*('DCF_NKE'!$B$5*(1-'DCF_NKE'!$B$6)+'DCF_NKE'!$B$7-'DCF_NKE'!$B$8)-'DCF_NKE'!$B$3*(1+D139)^1*D139*'DCF_NKE'!$B$9)/(1+'DCF_NKE'!$B$10)^2+('DCF_NKE'!$B$3*(1+D139)^3*('DCF_NKE'!$B$5*(1-'DCF_NKE'!$B$6)+'DCF_NKE'!$B$7-'DCF_NKE'!$B$8)-'DCF_NKE'!$B$3*(1+D139)^2*D139*'DCF_NKE'!$B$9)/(1+'DCF_NKE'!$B$10)^3+('DCF_NKE'!$B$3*(1+D139)^4*('DCF_NKE'!$B$5*(1-'DCF_NKE'!$B$6)+'DCF_NKE'!$B$7-'DCF_NKE'!$B$8)-'DCF_NKE'!$B$3*(1+D139)^3*D139*'DCF_NKE'!$B$9)/(1+'DCF_NKE'!$B$10)^4+('DCF_NKE'!$B$3*(1+D139)^5*('DCF_NKE'!$B$5*(1-'DCF_NKE'!$B$6)+'DCF_NKE'!$B$7-'DCF_NKE'!$B$8)-'DCF_NKE'!$B$3*(1+D139)^4*D139*'DCF_NKE'!$B$9)/(1+'DCF_NKE'!$B$10)^5+('DCF_NKE'!$B$3*(1+D139)^5*(1+'DCF_NKE'!$B$11)*('DCF_NKE'!$B$5*(1-'DCF_NKE'!$B$6)+'DCF_NKE'!$B$7-'DCF_NKE'!$B$8)-'DCF_NKE'!$B$3*(1+D139)^5*'DCF_NKE'!$B$11*'DCF_NKE'!$B$9)/('DCF_NKE'!$B$10-'DCF_NKE'!$B$11)/(1+'DCF_NKE'!$B$10)^5-'DCF_NKE'!$B$13)/'DCF_NKE'!$B$12))</f>
        <v/>
      </c>
    </row>
    <row r="140" spans="1:5" x14ac:dyDescent="0.25">
      <c r="A140" s="4">
        <v>4</v>
      </c>
      <c r="B140" s="4" t="str">
        <f>IF($B$5="","",IF(E139&lt;$B$5,D139,B139))</f>
        <v/>
      </c>
      <c r="C140" s="4" t="str">
        <f>IF($B$5="","",IF(E139&lt;$B$5,C139,D139))</f>
        <v/>
      </c>
      <c r="D140" s="4" t="str">
        <f>IF($B$5="","",(B140+C140)/2)</f>
        <v/>
      </c>
      <c r="E140" s="4" t="str">
        <f>IF($B$5="","",((('DCF_NKE'!$B$3*(1+D140)^1*('DCF_NKE'!$B$5*(1-'DCF_NKE'!$B$6)+'DCF_NKE'!$B$7-'DCF_NKE'!$B$8)-'DCF_NKE'!$B$3*(1+D140)^0*D140*'DCF_NKE'!$B$9)/(1+'DCF_NKE'!$B$10)^1+('DCF_NKE'!$B$3*(1+D140)^2*('DCF_NKE'!$B$5*(1-'DCF_NKE'!$B$6)+'DCF_NKE'!$B$7-'DCF_NKE'!$B$8)-'DCF_NKE'!$B$3*(1+D140)^1*D140*'DCF_NKE'!$B$9)/(1+'DCF_NKE'!$B$10)^2+('DCF_NKE'!$B$3*(1+D140)^3*('DCF_NKE'!$B$5*(1-'DCF_NKE'!$B$6)+'DCF_NKE'!$B$7-'DCF_NKE'!$B$8)-'DCF_NKE'!$B$3*(1+D140)^2*D140*'DCF_NKE'!$B$9)/(1+'DCF_NKE'!$B$10)^3+('DCF_NKE'!$B$3*(1+D140)^4*('DCF_NKE'!$B$5*(1-'DCF_NKE'!$B$6)+'DCF_NKE'!$B$7-'DCF_NKE'!$B$8)-'DCF_NKE'!$B$3*(1+D140)^3*D140*'DCF_NKE'!$B$9)/(1+'DCF_NKE'!$B$10)^4+('DCF_NKE'!$B$3*(1+D140)^5*('DCF_NKE'!$B$5*(1-'DCF_NKE'!$B$6)+'DCF_NKE'!$B$7-'DCF_NKE'!$B$8)-'DCF_NKE'!$B$3*(1+D140)^4*D140*'DCF_NKE'!$B$9)/(1+'DCF_NKE'!$B$10)^5+('DCF_NKE'!$B$3*(1+D140)^5*(1+'DCF_NKE'!$B$11)*('DCF_NKE'!$B$5*(1-'DCF_NKE'!$B$6)+'DCF_NKE'!$B$7-'DCF_NKE'!$B$8)-'DCF_NKE'!$B$3*(1+D140)^5*'DCF_NKE'!$B$11*'DCF_NKE'!$B$9)/('DCF_NKE'!$B$10-'DCF_NKE'!$B$11)/(1+'DCF_NKE'!$B$10)^5-'DCF_NKE'!$B$13)/'DCF_NKE'!$B$12))</f>
        <v/>
      </c>
    </row>
    <row r="141" spans="1:5" x14ac:dyDescent="0.25">
      <c r="A141" s="4">
        <v>5</v>
      </c>
      <c r="B141" s="4" t="str">
        <f>IF($B$5="","",IF(E140&lt;$B$5,D140,B140))</f>
        <v/>
      </c>
      <c r="C141" s="4" t="str">
        <f>IF($B$5="","",IF(E140&lt;$B$5,C140,D140))</f>
        <v/>
      </c>
      <c r="D141" s="4" t="str">
        <f>IF($B$5="","",(B141+C141)/2)</f>
        <v/>
      </c>
      <c r="E141" s="4" t="str">
        <f>IF($B$5="","",((('DCF_NKE'!$B$3*(1+D141)^1*('DCF_NKE'!$B$5*(1-'DCF_NKE'!$B$6)+'DCF_NKE'!$B$7-'DCF_NKE'!$B$8)-'DCF_NKE'!$B$3*(1+D141)^0*D141*'DCF_NKE'!$B$9)/(1+'DCF_NKE'!$B$10)^1+('DCF_NKE'!$B$3*(1+D141)^2*('DCF_NKE'!$B$5*(1-'DCF_NKE'!$B$6)+'DCF_NKE'!$B$7-'DCF_NKE'!$B$8)-'DCF_NKE'!$B$3*(1+D141)^1*D141*'DCF_NKE'!$B$9)/(1+'DCF_NKE'!$B$10)^2+('DCF_NKE'!$B$3*(1+D141)^3*('DCF_NKE'!$B$5*(1-'DCF_NKE'!$B$6)+'DCF_NKE'!$B$7-'DCF_NKE'!$B$8)-'DCF_NKE'!$B$3*(1+D141)^2*D141*'DCF_NKE'!$B$9)/(1+'DCF_NKE'!$B$10)^3+('DCF_NKE'!$B$3*(1+D141)^4*('DCF_NKE'!$B$5*(1-'DCF_NKE'!$B$6)+'DCF_NKE'!$B$7-'DCF_NKE'!$B$8)-'DCF_NKE'!$B$3*(1+D141)^3*D141*'DCF_NKE'!$B$9)/(1+'DCF_NKE'!$B$10)^4+('DCF_NKE'!$B$3*(1+D141)^5*('DCF_NKE'!$B$5*(1-'DCF_NKE'!$B$6)+'DCF_NKE'!$B$7-'DCF_NKE'!$B$8)-'DCF_NKE'!$B$3*(1+D141)^4*D141*'DCF_NKE'!$B$9)/(1+'DCF_NKE'!$B$10)^5+('DCF_NKE'!$B$3*(1+D141)^5*(1+'DCF_NKE'!$B$11)*('DCF_NKE'!$B$5*(1-'DCF_NKE'!$B$6)+'DCF_NKE'!$B$7-'DCF_NKE'!$B$8)-'DCF_NKE'!$B$3*(1+D141)^5*'DCF_NKE'!$B$11*'DCF_NKE'!$B$9)/('DCF_NKE'!$B$10-'DCF_NKE'!$B$11)/(1+'DCF_NKE'!$B$10)^5-'DCF_NKE'!$B$13)/'DCF_NKE'!$B$12))</f>
        <v/>
      </c>
    </row>
    <row r="142" spans="1:5" x14ac:dyDescent="0.25">
      <c r="A142" s="4">
        <v>6</v>
      </c>
      <c r="B142" s="4" t="str">
        <f>IF($B$5="","",IF(E141&lt;$B$5,D141,B141))</f>
        <v/>
      </c>
      <c r="C142" s="4" t="str">
        <f>IF($B$5="","",IF(E141&lt;$B$5,C141,D141))</f>
        <v/>
      </c>
      <c r="D142" s="4" t="str">
        <f>IF($B$5="","",(B142+C142)/2)</f>
        <v/>
      </c>
      <c r="E142" s="4" t="str">
        <f>IF($B$5="","",((('DCF_NKE'!$B$3*(1+D142)^1*('DCF_NKE'!$B$5*(1-'DCF_NKE'!$B$6)+'DCF_NKE'!$B$7-'DCF_NKE'!$B$8)-'DCF_NKE'!$B$3*(1+D142)^0*D142*'DCF_NKE'!$B$9)/(1+'DCF_NKE'!$B$10)^1+('DCF_NKE'!$B$3*(1+D142)^2*('DCF_NKE'!$B$5*(1-'DCF_NKE'!$B$6)+'DCF_NKE'!$B$7-'DCF_NKE'!$B$8)-'DCF_NKE'!$B$3*(1+D142)^1*D142*'DCF_NKE'!$B$9)/(1+'DCF_NKE'!$B$10)^2+('DCF_NKE'!$B$3*(1+D142)^3*('DCF_NKE'!$B$5*(1-'DCF_NKE'!$B$6)+'DCF_NKE'!$B$7-'DCF_NKE'!$B$8)-'DCF_NKE'!$B$3*(1+D142)^2*D142*'DCF_NKE'!$B$9)/(1+'DCF_NKE'!$B$10)^3+('DCF_NKE'!$B$3*(1+D142)^4*('DCF_NKE'!$B$5*(1-'DCF_NKE'!$B$6)+'DCF_NKE'!$B$7-'DCF_NKE'!$B$8)-'DCF_NKE'!$B$3*(1+D142)^3*D142*'DCF_NKE'!$B$9)/(1+'DCF_NKE'!$B$10)^4+('DCF_NKE'!$B$3*(1+D142)^5*('DCF_NKE'!$B$5*(1-'DCF_NKE'!$B$6)+'DCF_NKE'!$B$7-'DCF_NKE'!$B$8)-'DCF_NKE'!$B$3*(1+D142)^4*D142*'DCF_NKE'!$B$9)/(1+'DCF_NKE'!$B$10)^5+('DCF_NKE'!$B$3*(1+D142)^5*(1+'DCF_NKE'!$B$11)*('DCF_NKE'!$B$5*(1-'DCF_NKE'!$B$6)+'DCF_NKE'!$B$7-'DCF_NKE'!$B$8)-'DCF_NKE'!$B$3*(1+D142)^5*'DCF_NKE'!$B$11*'DCF_NKE'!$B$9)/('DCF_NKE'!$B$10-'DCF_NKE'!$B$11)/(1+'DCF_NKE'!$B$10)^5-'DCF_NKE'!$B$13)/'DCF_NKE'!$B$12))</f>
        <v/>
      </c>
    </row>
    <row r="143" spans="1:5" x14ac:dyDescent="0.25">
      <c r="A143" s="4">
        <v>7</v>
      </c>
      <c r="B143" s="4" t="str">
        <f>IF($B$5="","",IF(E142&lt;$B$5,D142,B142))</f>
        <v/>
      </c>
      <c r="C143" s="4" t="str">
        <f>IF($B$5="","",IF(E142&lt;$B$5,C142,D142))</f>
        <v/>
      </c>
      <c r="D143" s="4" t="str">
        <f>IF($B$5="","",(B143+C143)/2)</f>
        <v/>
      </c>
      <c r="E143" s="4" t="str">
        <f>IF($B$5="","",((('DCF_NKE'!$B$3*(1+D143)^1*('DCF_NKE'!$B$5*(1-'DCF_NKE'!$B$6)+'DCF_NKE'!$B$7-'DCF_NKE'!$B$8)-'DCF_NKE'!$B$3*(1+D143)^0*D143*'DCF_NKE'!$B$9)/(1+'DCF_NKE'!$B$10)^1+('DCF_NKE'!$B$3*(1+D143)^2*('DCF_NKE'!$B$5*(1-'DCF_NKE'!$B$6)+'DCF_NKE'!$B$7-'DCF_NKE'!$B$8)-'DCF_NKE'!$B$3*(1+D143)^1*D143*'DCF_NKE'!$B$9)/(1+'DCF_NKE'!$B$10)^2+('DCF_NKE'!$B$3*(1+D143)^3*('DCF_NKE'!$B$5*(1-'DCF_NKE'!$B$6)+'DCF_NKE'!$B$7-'DCF_NKE'!$B$8)-'DCF_NKE'!$B$3*(1+D143)^2*D143*'DCF_NKE'!$B$9)/(1+'DCF_NKE'!$B$10)^3+('DCF_NKE'!$B$3*(1+D143)^4*('DCF_NKE'!$B$5*(1-'DCF_NKE'!$B$6)+'DCF_NKE'!$B$7-'DCF_NKE'!$B$8)-'DCF_NKE'!$B$3*(1+D143)^3*D143*'DCF_NKE'!$B$9)/(1+'DCF_NKE'!$B$10)^4+('DCF_NKE'!$B$3*(1+D143)^5*('DCF_NKE'!$B$5*(1-'DCF_NKE'!$B$6)+'DCF_NKE'!$B$7-'DCF_NKE'!$B$8)-'DCF_NKE'!$B$3*(1+D143)^4*D143*'DCF_NKE'!$B$9)/(1+'DCF_NKE'!$B$10)^5+('DCF_NKE'!$B$3*(1+D143)^5*(1+'DCF_NKE'!$B$11)*('DCF_NKE'!$B$5*(1-'DCF_NKE'!$B$6)+'DCF_NKE'!$B$7-'DCF_NKE'!$B$8)-'DCF_NKE'!$B$3*(1+D143)^5*'DCF_NKE'!$B$11*'DCF_NKE'!$B$9)/('DCF_NKE'!$B$10-'DCF_NKE'!$B$11)/(1+'DCF_NKE'!$B$10)^5-'DCF_NKE'!$B$13)/'DCF_NKE'!$B$12))</f>
        <v/>
      </c>
    </row>
    <row r="144" spans="1:5" x14ac:dyDescent="0.25">
      <c r="A144" s="4">
        <v>8</v>
      </c>
      <c r="B144" s="4" t="str">
        <f>IF($B$5="","",IF(E143&lt;$B$5,D143,B143))</f>
        <v/>
      </c>
      <c r="C144" s="4" t="str">
        <f>IF($B$5="","",IF(E143&lt;$B$5,C143,D143))</f>
        <v/>
      </c>
      <c r="D144" s="4" t="str">
        <f>IF($B$5="","",(B144+C144)/2)</f>
        <v/>
      </c>
      <c r="E144" s="4" t="str">
        <f>IF($B$5="","",((('DCF_NKE'!$B$3*(1+D144)^1*('DCF_NKE'!$B$5*(1-'DCF_NKE'!$B$6)+'DCF_NKE'!$B$7-'DCF_NKE'!$B$8)-'DCF_NKE'!$B$3*(1+D144)^0*D144*'DCF_NKE'!$B$9)/(1+'DCF_NKE'!$B$10)^1+('DCF_NKE'!$B$3*(1+D144)^2*('DCF_NKE'!$B$5*(1-'DCF_NKE'!$B$6)+'DCF_NKE'!$B$7-'DCF_NKE'!$B$8)-'DCF_NKE'!$B$3*(1+D144)^1*D144*'DCF_NKE'!$B$9)/(1+'DCF_NKE'!$B$10)^2+('DCF_NKE'!$B$3*(1+D144)^3*('DCF_NKE'!$B$5*(1-'DCF_NKE'!$B$6)+'DCF_NKE'!$B$7-'DCF_NKE'!$B$8)-'DCF_NKE'!$B$3*(1+D144)^2*D144*'DCF_NKE'!$B$9)/(1+'DCF_NKE'!$B$10)^3+('DCF_NKE'!$B$3*(1+D144)^4*('DCF_NKE'!$B$5*(1-'DCF_NKE'!$B$6)+'DCF_NKE'!$B$7-'DCF_NKE'!$B$8)-'DCF_NKE'!$B$3*(1+D144)^3*D144*'DCF_NKE'!$B$9)/(1+'DCF_NKE'!$B$10)^4+('DCF_NKE'!$B$3*(1+D144)^5*('DCF_NKE'!$B$5*(1-'DCF_NKE'!$B$6)+'DCF_NKE'!$B$7-'DCF_NKE'!$B$8)-'DCF_NKE'!$B$3*(1+D144)^4*D144*'DCF_NKE'!$B$9)/(1+'DCF_NKE'!$B$10)^5+('DCF_NKE'!$B$3*(1+D144)^5*(1+'DCF_NKE'!$B$11)*('DCF_NKE'!$B$5*(1-'DCF_NKE'!$B$6)+'DCF_NKE'!$B$7-'DCF_NKE'!$B$8)-'DCF_NKE'!$B$3*(1+D144)^5*'DCF_NKE'!$B$11*'DCF_NKE'!$B$9)/('DCF_NKE'!$B$10-'DCF_NKE'!$B$11)/(1+'DCF_NKE'!$B$10)^5-'DCF_NKE'!$B$13)/'DCF_NKE'!$B$12))</f>
        <v/>
      </c>
    </row>
    <row r="145" spans="1:5" x14ac:dyDescent="0.25">
      <c r="A145" s="4">
        <v>9</v>
      </c>
      <c r="B145" s="4" t="str">
        <f>IF($B$5="","",IF(E144&lt;$B$5,D144,B144))</f>
        <v/>
      </c>
      <c r="C145" s="4" t="str">
        <f>IF($B$5="","",IF(E144&lt;$B$5,C144,D144))</f>
        <v/>
      </c>
      <c r="D145" s="4" t="str">
        <f>IF($B$5="","",(B145+C145)/2)</f>
        <v/>
      </c>
      <c r="E145" s="4" t="str">
        <f>IF($B$5="","",((('DCF_NKE'!$B$3*(1+D145)^1*('DCF_NKE'!$B$5*(1-'DCF_NKE'!$B$6)+'DCF_NKE'!$B$7-'DCF_NKE'!$B$8)-'DCF_NKE'!$B$3*(1+D145)^0*D145*'DCF_NKE'!$B$9)/(1+'DCF_NKE'!$B$10)^1+('DCF_NKE'!$B$3*(1+D145)^2*('DCF_NKE'!$B$5*(1-'DCF_NKE'!$B$6)+'DCF_NKE'!$B$7-'DCF_NKE'!$B$8)-'DCF_NKE'!$B$3*(1+D145)^1*D145*'DCF_NKE'!$B$9)/(1+'DCF_NKE'!$B$10)^2+('DCF_NKE'!$B$3*(1+D145)^3*('DCF_NKE'!$B$5*(1-'DCF_NKE'!$B$6)+'DCF_NKE'!$B$7-'DCF_NKE'!$B$8)-'DCF_NKE'!$B$3*(1+D145)^2*D145*'DCF_NKE'!$B$9)/(1+'DCF_NKE'!$B$10)^3+('DCF_NKE'!$B$3*(1+D145)^4*('DCF_NKE'!$B$5*(1-'DCF_NKE'!$B$6)+'DCF_NKE'!$B$7-'DCF_NKE'!$B$8)-'DCF_NKE'!$B$3*(1+D145)^3*D145*'DCF_NKE'!$B$9)/(1+'DCF_NKE'!$B$10)^4+('DCF_NKE'!$B$3*(1+D145)^5*('DCF_NKE'!$B$5*(1-'DCF_NKE'!$B$6)+'DCF_NKE'!$B$7-'DCF_NKE'!$B$8)-'DCF_NKE'!$B$3*(1+D145)^4*D145*'DCF_NKE'!$B$9)/(1+'DCF_NKE'!$B$10)^5+('DCF_NKE'!$B$3*(1+D145)^5*(1+'DCF_NKE'!$B$11)*('DCF_NKE'!$B$5*(1-'DCF_NKE'!$B$6)+'DCF_NKE'!$B$7-'DCF_NKE'!$B$8)-'DCF_NKE'!$B$3*(1+D145)^5*'DCF_NKE'!$B$11*'DCF_NKE'!$B$9)/('DCF_NKE'!$B$10-'DCF_NKE'!$B$11)/(1+'DCF_NKE'!$B$10)^5-'DCF_NKE'!$B$13)/'DCF_NKE'!$B$12))</f>
        <v/>
      </c>
    </row>
    <row r="146" spans="1:5" x14ac:dyDescent="0.25">
      <c r="A146" s="4">
        <v>10</v>
      </c>
      <c r="B146" s="4" t="str">
        <f>IF($B$5="","",IF(E145&lt;$B$5,D145,B145))</f>
        <v/>
      </c>
      <c r="C146" s="4" t="str">
        <f>IF($B$5="","",IF(E145&lt;$B$5,C145,D145))</f>
        <v/>
      </c>
      <c r="D146" s="4" t="str">
        <f>IF($B$5="","",(B146+C146)/2)</f>
        <v/>
      </c>
      <c r="E146" s="4" t="str">
        <f>IF($B$5="","",((('DCF_NKE'!$B$3*(1+D146)^1*('DCF_NKE'!$B$5*(1-'DCF_NKE'!$B$6)+'DCF_NKE'!$B$7-'DCF_NKE'!$B$8)-'DCF_NKE'!$B$3*(1+D146)^0*D146*'DCF_NKE'!$B$9)/(1+'DCF_NKE'!$B$10)^1+('DCF_NKE'!$B$3*(1+D146)^2*('DCF_NKE'!$B$5*(1-'DCF_NKE'!$B$6)+'DCF_NKE'!$B$7-'DCF_NKE'!$B$8)-'DCF_NKE'!$B$3*(1+D146)^1*D146*'DCF_NKE'!$B$9)/(1+'DCF_NKE'!$B$10)^2+('DCF_NKE'!$B$3*(1+D146)^3*('DCF_NKE'!$B$5*(1-'DCF_NKE'!$B$6)+'DCF_NKE'!$B$7-'DCF_NKE'!$B$8)-'DCF_NKE'!$B$3*(1+D146)^2*D146*'DCF_NKE'!$B$9)/(1+'DCF_NKE'!$B$10)^3+('DCF_NKE'!$B$3*(1+D146)^4*('DCF_NKE'!$B$5*(1-'DCF_NKE'!$B$6)+'DCF_NKE'!$B$7-'DCF_NKE'!$B$8)-'DCF_NKE'!$B$3*(1+D146)^3*D146*'DCF_NKE'!$B$9)/(1+'DCF_NKE'!$B$10)^4+('DCF_NKE'!$B$3*(1+D146)^5*('DCF_NKE'!$B$5*(1-'DCF_NKE'!$B$6)+'DCF_NKE'!$B$7-'DCF_NKE'!$B$8)-'DCF_NKE'!$B$3*(1+D146)^4*D146*'DCF_NKE'!$B$9)/(1+'DCF_NKE'!$B$10)^5+('DCF_NKE'!$B$3*(1+D146)^5*(1+'DCF_NKE'!$B$11)*('DCF_NKE'!$B$5*(1-'DCF_NKE'!$B$6)+'DCF_NKE'!$B$7-'DCF_NKE'!$B$8)-'DCF_NKE'!$B$3*(1+D146)^5*'DCF_NKE'!$B$11*'DCF_NKE'!$B$9)/('DCF_NKE'!$B$10-'DCF_NKE'!$B$11)/(1+'DCF_NKE'!$B$10)^5-'DCF_NKE'!$B$13)/'DCF_NKE'!$B$12))</f>
        <v/>
      </c>
    </row>
    <row r="147" spans="1:5" x14ac:dyDescent="0.25">
      <c r="A147" s="4">
        <v>11</v>
      </c>
      <c r="B147" s="4" t="str">
        <f>IF($B$5="","",IF(E146&lt;$B$5,D146,B146))</f>
        <v/>
      </c>
      <c r="C147" s="4" t="str">
        <f>IF($B$5="","",IF(E146&lt;$B$5,C146,D146))</f>
        <v/>
      </c>
      <c r="D147" s="4" t="str">
        <f>IF($B$5="","",(B147+C147)/2)</f>
        <v/>
      </c>
      <c r="E147" s="4" t="str">
        <f>IF($B$5="","",((('DCF_NKE'!$B$3*(1+D147)^1*('DCF_NKE'!$B$5*(1-'DCF_NKE'!$B$6)+'DCF_NKE'!$B$7-'DCF_NKE'!$B$8)-'DCF_NKE'!$B$3*(1+D147)^0*D147*'DCF_NKE'!$B$9)/(1+'DCF_NKE'!$B$10)^1+('DCF_NKE'!$B$3*(1+D147)^2*('DCF_NKE'!$B$5*(1-'DCF_NKE'!$B$6)+'DCF_NKE'!$B$7-'DCF_NKE'!$B$8)-'DCF_NKE'!$B$3*(1+D147)^1*D147*'DCF_NKE'!$B$9)/(1+'DCF_NKE'!$B$10)^2+('DCF_NKE'!$B$3*(1+D147)^3*('DCF_NKE'!$B$5*(1-'DCF_NKE'!$B$6)+'DCF_NKE'!$B$7-'DCF_NKE'!$B$8)-'DCF_NKE'!$B$3*(1+D147)^2*D147*'DCF_NKE'!$B$9)/(1+'DCF_NKE'!$B$10)^3+('DCF_NKE'!$B$3*(1+D147)^4*('DCF_NKE'!$B$5*(1-'DCF_NKE'!$B$6)+'DCF_NKE'!$B$7-'DCF_NKE'!$B$8)-'DCF_NKE'!$B$3*(1+D147)^3*D147*'DCF_NKE'!$B$9)/(1+'DCF_NKE'!$B$10)^4+('DCF_NKE'!$B$3*(1+D147)^5*('DCF_NKE'!$B$5*(1-'DCF_NKE'!$B$6)+'DCF_NKE'!$B$7-'DCF_NKE'!$B$8)-'DCF_NKE'!$B$3*(1+D147)^4*D147*'DCF_NKE'!$B$9)/(1+'DCF_NKE'!$B$10)^5+('DCF_NKE'!$B$3*(1+D147)^5*(1+'DCF_NKE'!$B$11)*('DCF_NKE'!$B$5*(1-'DCF_NKE'!$B$6)+'DCF_NKE'!$B$7-'DCF_NKE'!$B$8)-'DCF_NKE'!$B$3*(1+D147)^5*'DCF_NKE'!$B$11*'DCF_NKE'!$B$9)/('DCF_NKE'!$B$10-'DCF_NKE'!$B$11)/(1+'DCF_NKE'!$B$10)^5-'DCF_NKE'!$B$13)/'DCF_NKE'!$B$12))</f>
        <v/>
      </c>
    </row>
    <row r="148" spans="1:5" x14ac:dyDescent="0.25">
      <c r="A148" s="4">
        <v>12</v>
      </c>
      <c r="B148" s="4" t="str">
        <f>IF($B$5="","",IF(E147&lt;$B$5,D147,B147))</f>
        <v/>
      </c>
      <c r="C148" s="4" t="str">
        <f>IF($B$5="","",IF(E147&lt;$B$5,C147,D147))</f>
        <v/>
      </c>
      <c r="D148" s="4" t="str">
        <f>IF($B$5="","",(B148+C148)/2)</f>
        <v/>
      </c>
      <c r="E148" s="4" t="str">
        <f>IF($B$5="","",((('DCF_NKE'!$B$3*(1+D148)^1*('DCF_NKE'!$B$5*(1-'DCF_NKE'!$B$6)+'DCF_NKE'!$B$7-'DCF_NKE'!$B$8)-'DCF_NKE'!$B$3*(1+D148)^0*D148*'DCF_NKE'!$B$9)/(1+'DCF_NKE'!$B$10)^1+('DCF_NKE'!$B$3*(1+D148)^2*('DCF_NKE'!$B$5*(1-'DCF_NKE'!$B$6)+'DCF_NKE'!$B$7-'DCF_NKE'!$B$8)-'DCF_NKE'!$B$3*(1+D148)^1*D148*'DCF_NKE'!$B$9)/(1+'DCF_NKE'!$B$10)^2+('DCF_NKE'!$B$3*(1+D148)^3*('DCF_NKE'!$B$5*(1-'DCF_NKE'!$B$6)+'DCF_NKE'!$B$7-'DCF_NKE'!$B$8)-'DCF_NKE'!$B$3*(1+D148)^2*D148*'DCF_NKE'!$B$9)/(1+'DCF_NKE'!$B$10)^3+('DCF_NKE'!$B$3*(1+D148)^4*('DCF_NKE'!$B$5*(1-'DCF_NKE'!$B$6)+'DCF_NKE'!$B$7-'DCF_NKE'!$B$8)-'DCF_NKE'!$B$3*(1+D148)^3*D148*'DCF_NKE'!$B$9)/(1+'DCF_NKE'!$B$10)^4+('DCF_NKE'!$B$3*(1+D148)^5*('DCF_NKE'!$B$5*(1-'DCF_NKE'!$B$6)+'DCF_NKE'!$B$7-'DCF_NKE'!$B$8)-'DCF_NKE'!$B$3*(1+D148)^4*D148*'DCF_NKE'!$B$9)/(1+'DCF_NKE'!$B$10)^5+('DCF_NKE'!$B$3*(1+D148)^5*(1+'DCF_NKE'!$B$11)*('DCF_NKE'!$B$5*(1-'DCF_NKE'!$B$6)+'DCF_NKE'!$B$7-'DCF_NKE'!$B$8)-'DCF_NKE'!$B$3*(1+D148)^5*'DCF_NKE'!$B$11*'DCF_NKE'!$B$9)/('DCF_NKE'!$B$10-'DCF_NKE'!$B$11)/(1+'DCF_NKE'!$B$10)^5-'DCF_NKE'!$B$13)/'DCF_NKE'!$B$12))</f>
        <v/>
      </c>
    </row>
    <row r="149" spans="1:5" x14ac:dyDescent="0.25">
      <c r="A149" s="4">
        <v>13</v>
      </c>
      <c r="B149" s="4" t="str">
        <f>IF($B$5="","",IF(E148&lt;$B$5,D148,B148))</f>
        <v/>
      </c>
      <c r="C149" s="4" t="str">
        <f>IF($B$5="","",IF(E148&lt;$B$5,C148,D148))</f>
        <v/>
      </c>
      <c r="D149" s="4" t="str">
        <f>IF($B$5="","",(B149+C149)/2)</f>
        <v/>
      </c>
      <c r="E149" s="4" t="str">
        <f>IF($B$5="","",((('DCF_NKE'!$B$3*(1+D149)^1*('DCF_NKE'!$B$5*(1-'DCF_NKE'!$B$6)+'DCF_NKE'!$B$7-'DCF_NKE'!$B$8)-'DCF_NKE'!$B$3*(1+D149)^0*D149*'DCF_NKE'!$B$9)/(1+'DCF_NKE'!$B$10)^1+('DCF_NKE'!$B$3*(1+D149)^2*('DCF_NKE'!$B$5*(1-'DCF_NKE'!$B$6)+'DCF_NKE'!$B$7-'DCF_NKE'!$B$8)-'DCF_NKE'!$B$3*(1+D149)^1*D149*'DCF_NKE'!$B$9)/(1+'DCF_NKE'!$B$10)^2+('DCF_NKE'!$B$3*(1+D149)^3*('DCF_NKE'!$B$5*(1-'DCF_NKE'!$B$6)+'DCF_NKE'!$B$7-'DCF_NKE'!$B$8)-'DCF_NKE'!$B$3*(1+D149)^2*D149*'DCF_NKE'!$B$9)/(1+'DCF_NKE'!$B$10)^3+('DCF_NKE'!$B$3*(1+D149)^4*('DCF_NKE'!$B$5*(1-'DCF_NKE'!$B$6)+'DCF_NKE'!$B$7-'DCF_NKE'!$B$8)-'DCF_NKE'!$B$3*(1+D149)^3*D149*'DCF_NKE'!$B$9)/(1+'DCF_NKE'!$B$10)^4+('DCF_NKE'!$B$3*(1+D149)^5*('DCF_NKE'!$B$5*(1-'DCF_NKE'!$B$6)+'DCF_NKE'!$B$7-'DCF_NKE'!$B$8)-'DCF_NKE'!$B$3*(1+D149)^4*D149*'DCF_NKE'!$B$9)/(1+'DCF_NKE'!$B$10)^5+('DCF_NKE'!$B$3*(1+D149)^5*(1+'DCF_NKE'!$B$11)*('DCF_NKE'!$B$5*(1-'DCF_NKE'!$B$6)+'DCF_NKE'!$B$7-'DCF_NKE'!$B$8)-'DCF_NKE'!$B$3*(1+D149)^5*'DCF_NKE'!$B$11*'DCF_NKE'!$B$9)/('DCF_NKE'!$B$10-'DCF_NKE'!$B$11)/(1+'DCF_NKE'!$B$10)^5-'DCF_NKE'!$B$13)/'DCF_NKE'!$B$12))</f>
        <v/>
      </c>
    </row>
    <row r="150" spans="1:5" x14ac:dyDescent="0.25">
      <c r="A150" s="4">
        <v>14</v>
      </c>
      <c r="B150" s="4" t="str">
        <f>IF($B$5="","",IF(E149&lt;$B$5,D149,B149))</f>
        <v/>
      </c>
      <c r="C150" s="4" t="str">
        <f>IF($B$5="","",IF(E149&lt;$B$5,C149,D149))</f>
        <v/>
      </c>
      <c r="D150" s="4" t="str">
        <f>IF($B$5="","",(B150+C150)/2)</f>
        <v/>
      </c>
      <c r="E150" s="4" t="str">
        <f>IF($B$5="","",((('DCF_NKE'!$B$3*(1+D150)^1*('DCF_NKE'!$B$5*(1-'DCF_NKE'!$B$6)+'DCF_NKE'!$B$7-'DCF_NKE'!$B$8)-'DCF_NKE'!$B$3*(1+D150)^0*D150*'DCF_NKE'!$B$9)/(1+'DCF_NKE'!$B$10)^1+('DCF_NKE'!$B$3*(1+D150)^2*('DCF_NKE'!$B$5*(1-'DCF_NKE'!$B$6)+'DCF_NKE'!$B$7-'DCF_NKE'!$B$8)-'DCF_NKE'!$B$3*(1+D150)^1*D150*'DCF_NKE'!$B$9)/(1+'DCF_NKE'!$B$10)^2+('DCF_NKE'!$B$3*(1+D150)^3*('DCF_NKE'!$B$5*(1-'DCF_NKE'!$B$6)+'DCF_NKE'!$B$7-'DCF_NKE'!$B$8)-'DCF_NKE'!$B$3*(1+D150)^2*D150*'DCF_NKE'!$B$9)/(1+'DCF_NKE'!$B$10)^3+('DCF_NKE'!$B$3*(1+D150)^4*('DCF_NKE'!$B$5*(1-'DCF_NKE'!$B$6)+'DCF_NKE'!$B$7-'DCF_NKE'!$B$8)-'DCF_NKE'!$B$3*(1+D150)^3*D150*'DCF_NKE'!$B$9)/(1+'DCF_NKE'!$B$10)^4+('DCF_NKE'!$B$3*(1+D150)^5*('DCF_NKE'!$B$5*(1-'DCF_NKE'!$B$6)+'DCF_NKE'!$B$7-'DCF_NKE'!$B$8)-'DCF_NKE'!$B$3*(1+D150)^4*D150*'DCF_NKE'!$B$9)/(1+'DCF_NKE'!$B$10)^5+('DCF_NKE'!$B$3*(1+D150)^5*(1+'DCF_NKE'!$B$11)*('DCF_NKE'!$B$5*(1-'DCF_NKE'!$B$6)+'DCF_NKE'!$B$7-'DCF_NKE'!$B$8)-'DCF_NKE'!$B$3*(1+D150)^5*'DCF_NKE'!$B$11*'DCF_NKE'!$B$9)/('DCF_NKE'!$B$10-'DCF_NKE'!$B$11)/(1+'DCF_NKE'!$B$10)^5-'DCF_NKE'!$B$13)/'DCF_NKE'!$B$12))</f>
        <v/>
      </c>
    </row>
    <row r="151" spans="1:5" x14ac:dyDescent="0.25">
      <c r="A151" s="4">
        <v>15</v>
      </c>
      <c r="B151" s="4" t="str">
        <f>IF($B$5="","",IF(E150&lt;$B$5,D150,B150))</f>
        <v/>
      </c>
      <c r="C151" s="4" t="str">
        <f>IF($B$5="","",IF(E150&lt;$B$5,C150,D150))</f>
        <v/>
      </c>
      <c r="D151" s="4" t="str">
        <f>IF($B$5="","",(B151+C151)/2)</f>
        <v/>
      </c>
      <c r="E151" s="4" t="str">
        <f>IF($B$5="","",((('DCF_NKE'!$B$3*(1+D151)^1*('DCF_NKE'!$B$5*(1-'DCF_NKE'!$B$6)+'DCF_NKE'!$B$7-'DCF_NKE'!$B$8)-'DCF_NKE'!$B$3*(1+D151)^0*D151*'DCF_NKE'!$B$9)/(1+'DCF_NKE'!$B$10)^1+('DCF_NKE'!$B$3*(1+D151)^2*('DCF_NKE'!$B$5*(1-'DCF_NKE'!$B$6)+'DCF_NKE'!$B$7-'DCF_NKE'!$B$8)-'DCF_NKE'!$B$3*(1+D151)^1*D151*'DCF_NKE'!$B$9)/(1+'DCF_NKE'!$B$10)^2+('DCF_NKE'!$B$3*(1+D151)^3*('DCF_NKE'!$B$5*(1-'DCF_NKE'!$B$6)+'DCF_NKE'!$B$7-'DCF_NKE'!$B$8)-'DCF_NKE'!$B$3*(1+D151)^2*D151*'DCF_NKE'!$B$9)/(1+'DCF_NKE'!$B$10)^3+('DCF_NKE'!$B$3*(1+D151)^4*('DCF_NKE'!$B$5*(1-'DCF_NKE'!$B$6)+'DCF_NKE'!$B$7-'DCF_NKE'!$B$8)-'DCF_NKE'!$B$3*(1+D151)^3*D151*'DCF_NKE'!$B$9)/(1+'DCF_NKE'!$B$10)^4+('DCF_NKE'!$B$3*(1+D151)^5*('DCF_NKE'!$B$5*(1-'DCF_NKE'!$B$6)+'DCF_NKE'!$B$7-'DCF_NKE'!$B$8)-'DCF_NKE'!$B$3*(1+D151)^4*D151*'DCF_NKE'!$B$9)/(1+'DCF_NKE'!$B$10)^5+('DCF_NKE'!$B$3*(1+D151)^5*(1+'DCF_NKE'!$B$11)*('DCF_NKE'!$B$5*(1-'DCF_NKE'!$B$6)+'DCF_NKE'!$B$7-'DCF_NKE'!$B$8)-'DCF_NKE'!$B$3*(1+D151)^5*'DCF_NKE'!$B$11*'DCF_NKE'!$B$9)/('DCF_NKE'!$B$10-'DCF_NKE'!$B$11)/(1+'DCF_NKE'!$B$10)^5-'DCF_NKE'!$B$13)/'DCF_NKE'!$B$12))</f>
        <v/>
      </c>
    </row>
    <row r="152" spans="1:5" x14ac:dyDescent="0.25">
      <c r="A152" s="4">
        <v>16</v>
      </c>
      <c r="B152" s="4" t="str">
        <f>IF($B$5="","",IF(E151&lt;$B$5,D151,B151))</f>
        <v/>
      </c>
      <c r="C152" s="4" t="str">
        <f>IF($B$5="","",IF(E151&lt;$B$5,C151,D151))</f>
        <v/>
      </c>
      <c r="D152" s="4" t="str">
        <f>IF($B$5="","",(B152+C152)/2)</f>
        <v/>
      </c>
      <c r="E152" s="4" t="str">
        <f>IF($B$5="","",((('DCF_NKE'!$B$3*(1+D152)^1*('DCF_NKE'!$B$5*(1-'DCF_NKE'!$B$6)+'DCF_NKE'!$B$7-'DCF_NKE'!$B$8)-'DCF_NKE'!$B$3*(1+D152)^0*D152*'DCF_NKE'!$B$9)/(1+'DCF_NKE'!$B$10)^1+('DCF_NKE'!$B$3*(1+D152)^2*('DCF_NKE'!$B$5*(1-'DCF_NKE'!$B$6)+'DCF_NKE'!$B$7-'DCF_NKE'!$B$8)-'DCF_NKE'!$B$3*(1+D152)^1*D152*'DCF_NKE'!$B$9)/(1+'DCF_NKE'!$B$10)^2+('DCF_NKE'!$B$3*(1+D152)^3*('DCF_NKE'!$B$5*(1-'DCF_NKE'!$B$6)+'DCF_NKE'!$B$7-'DCF_NKE'!$B$8)-'DCF_NKE'!$B$3*(1+D152)^2*D152*'DCF_NKE'!$B$9)/(1+'DCF_NKE'!$B$10)^3+('DCF_NKE'!$B$3*(1+D152)^4*('DCF_NKE'!$B$5*(1-'DCF_NKE'!$B$6)+'DCF_NKE'!$B$7-'DCF_NKE'!$B$8)-'DCF_NKE'!$B$3*(1+D152)^3*D152*'DCF_NKE'!$B$9)/(1+'DCF_NKE'!$B$10)^4+('DCF_NKE'!$B$3*(1+D152)^5*('DCF_NKE'!$B$5*(1-'DCF_NKE'!$B$6)+'DCF_NKE'!$B$7-'DCF_NKE'!$B$8)-'DCF_NKE'!$B$3*(1+D152)^4*D152*'DCF_NKE'!$B$9)/(1+'DCF_NKE'!$B$10)^5+('DCF_NKE'!$B$3*(1+D152)^5*(1+'DCF_NKE'!$B$11)*('DCF_NKE'!$B$5*(1-'DCF_NKE'!$B$6)+'DCF_NKE'!$B$7-'DCF_NKE'!$B$8)-'DCF_NKE'!$B$3*(1+D152)^5*'DCF_NKE'!$B$11*'DCF_NKE'!$B$9)/('DCF_NKE'!$B$10-'DCF_NKE'!$B$11)/(1+'DCF_NKE'!$B$10)^5-'DCF_NKE'!$B$13)/'DCF_NKE'!$B$12))</f>
        <v/>
      </c>
    </row>
    <row r="153" spans="1:5" x14ac:dyDescent="0.25">
      <c r="A153" s="4">
        <v>17</v>
      </c>
      <c r="B153" s="4" t="str">
        <f>IF($B$5="","",IF(E152&lt;$B$5,D152,B152))</f>
        <v/>
      </c>
      <c r="C153" s="4" t="str">
        <f>IF($B$5="","",IF(E152&lt;$B$5,C152,D152))</f>
        <v/>
      </c>
      <c r="D153" s="4" t="str">
        <f>IF($B$5="","",(B153+C153)/2)</f>
        <v/>
      </c>
      <c r="E153" s="4" t="str">
        <f>IF($B$5="","",((('DCF_NKE'!$B$3*(1+D153)^1*('DCF_NKE'!$B$5*(1-'DCF_NKE'!$B$6)+'DCF_NKE'!$B$7-'DCF_NKE'!$B$8)-'DCF_NKE'!$B$3*(1+D153)^0*D153*'DCF_NKE'!$B$9)/(1+'DCF_NKE'!$B$10)^1+('DCF_NKE'!$B$3*(1+D153)^2*('DCF_NKE'!$B$5*(1-'DCF_NKE'!$B$6)+'DCF_NKE'!$B$7-'DCF_NKE'!$B$8)-'DCF_NKE'!$B$3*(1+D153)^1*D153*'DCF_NKE'!$B$9)/(1+'DCF_NKE'!$B$10)^2+('DCF_NKE'!$B$3*(1+D153)^3*('DCF_NKE'!$B$5*(1-'DCF_NKE'!$B$6)+'DCF_NKE'!$B$7-'DCF_NKE'!$B$8)-'DCF_NKE'!$B$3*(1+D153)^2*D153*'DCF_NKE'!$B$9)/(1+'DCF_NKE'!$B$10)^3+('DCF_NKE'!$B$3*(1+D153)^4*('DCF_NKE'!$B$5*(1-'DCF_NKE'!$B$6)+'DCF_NKE'!$B$7-'DCF_NKE'!$B$8)-'DCF_NKE'!$B$3*(1+D153)^3*D153*'DCF_NKE'!$B$9)/(1+'DCF_NKE'!$B$10)^4+('DCF_NKE'!$B$3*(1+D153)^5*('DCF_NKE'!$B$5*(1-'DCF_NKE'!$B$6)+'DCF_NKE'!$B$7-'DCF_NKE'!$B$8)-'DCF_NKE'!$B$3*(1+D153)^4*D153*'DCF_NKE'!$B$9)/(1+'DCF_NKE'!$B$10)^5+('DCF_NKE'!$B$3*(1+D153)^5*(1+'DCF_NKE'!$B$11)*('DCF_NKE'!$B$5*(1-'DCF_NKE'!$B$6)+'DCF_NKE'!$B$7-'DCF_NKE'!$B$8)-'DCF_NKE'!$B$3*(1+D153)^5*'DCF_NKE'!$B$11*'DCF_NKE'!$B$9)/('DCF_NKE'!$B$10-'DCF_NKE'!$B$11)/(1+'DCF_NKE'!$B$10)^5-'DCF_NKE'!$B$13)/'DCF_NKE'!$B$12))</f>
        <v/>
      </c>
    </row>
    <row r="154" spans="1:5" x14ac:dyDescent="0.25">
      <c r="A154" s="4">
        <v>18</v>
      </c>
      <c r="B154" s="4" t="str">
        <f>IF($B$5="","",IF(E153&lt;$B$5,D153,B153))</f>
        <v/>
      </c>
      <c r="C154" s="4" t="str">
        <f>IF($B$5="","",IF(E153&lt;$B$5,C153,D153))</f>
        <v/>
      </c>
      <c r="D154" s="4" t="str">
        <f>IF($B$5="","",(B154+C154)/2)</f>
        <v/>
      </c>
      <c r="E154" s="4" t="str">
        <f>IF($B$5="","",((('DCF_NKE'!$B$3*(1+D154)^1*('DCF_NKE'!$B$5*(1-'DCF_NKE'!$B$6)+'DCF_NKE'!$B$7-'DCF_NKE'!$B$8)-'DCF_NKE'!$B$3*(1+D154)^0*D154*'DCF_NKE'!$B$9)/(1+'DCF_NKE'!$B$10)^1+('DCF_NKE'!$B$3*(1+D154)^2*('DCF_NKE'!$B$5*(1-'DCF_NKE'!$B$6)+'DCF_NKE'!$B$7-'DCF_NKE'!$B$8)-'DCF_NKE'!$B$3*(1+D154)^1*D154*'DCF_NKE'!$B$9)/(1+'DCF_NKE'!$B$10)^2+('DCF_NKE'!$B$3*(1+D154)^3*('DCF_NKE'!$B$5*(1-'DCF_NKE'!$B$6)+'DCF_NKE'!$B$7-'DCF_NKE'!$B$8)-'DCF_NKE'!$B$3*(1+D154)^2*D154*'DCF_NKE'!$B$9)/(1+'DCF_NKE'!$B$10)^3+('DCF_NKE'!$B$3*(1+D154)^4*('DCF_NKE'!$B$5*(1-'DCF_NKE'!$B$6)+'DCF_NKE'!$B$7-'DCF_NKE'!$B$8)-'DCF_NKE'!$B$3*(1+D154)^3*D154*'DCF_NKE'!$B$9)/(1+'DCF_NKE'!$B$10)^4+('DCF_NKE'!$B$3*(1+D154)^5*('DCF_NKE'!$B$5*(1-'DCF_NKE'!$B$6)+'DCF_NKE'!$B$7-'DCF_NKE'!$B$8)-'DCF_NKE'!$B$3*(1+D154)^4*D154*'DCF_NKE'!$B$9)/(1+'DCF_NKE'!$B$10)^5+('DCF_NKE'!$B$3*(1+D154)^5*(1+'DCF_NKE'!$B$11)*('DCF_NKE'!$B$5*(1-'DCF_NKE'!$B$6)+'DCF_NKE'!$B$7-'DCF_NKE'!$B$8)-'DCF_NKE'!$B$3*(1+D154)^5*'DCF_NKE'!$B$11*'DCF_NKE'!$B$9)/('DCF_NKE'!$B$10-'DCF_NKE'!$B$11)/(1+'DCF_NKE'!$B$10)^5-'DCF_NKE'!$B$13)/'DCF_NKE'!$B$12))</f>
        <v/>
      </c>
    </row>
    <row r="155" spans="1:5" x14ac:dyDescent="0.25">
      <c r="A155" s="4">
        <v>19</v>
      </c>
      <c r="B155" s="4" t="str">
        <f>IF($B$5="","",IF(E154&lt;$B$5,D154,B154))</f>
        <v/>
      </c>
      <c r="C155" s="4" t="str">
        <f>IF($B$5="","",IF(E154&lt;$B$5,C154,D154))</f>
        <v/>
      </c>
      <c r="D155" s="4" t="str">
        <f>IF($B$5="","",(B155+C155)/2)</f>
        <v/>
      </c>
      <c r="E155" s="4" t="str">
        <f>IF($B$5="","",((('DCF_NKE'!$B$3*(1+D155)^1*('DCF_NKE'!$B$5*(1-'DCF_NKE'!$B$6)+'DCF_NKE'!$B$7-'DCF_NKE'!$B$8)-'DCF_NKE'!$B$3*(1+D155)^0*D155*'DCF_NKE'!$B$9)/(1+'DCF_NKE'!$B$10)^1+('DCF_NKE'!$B$3*(1+D155)^2*('DCF_NKE'!$B$5*(1-'DCF_NKE'!$B$6)+'DCF_NKE'!$B$7-'DCF_NKE'!$B$8)-'DCF_NKE'!$B$3*(1+D155)^1*D155*'DCF_NKE'!$B$9)/(1+'DCF_NKE'!$B$10)^2+('DCF_NKE'!$B$3*(1+D155)^3*('DCF_NKE'!$B$5*(1-'DCF_NKE'!$B$6)+'DCF_NKE'!$B$7-'DCF_NKE'!$B$8)-'DCF_NKE'!$B$3*(1+D155)^2*D155*'DCF_NKE'!$B$9)/(1+'DCF_NKE'!$B$10)^3+('DCF_NKE'!$B$3*(1+D155)^4*('DCF_NKE'!$B$5*(1-'DCF_NKE'!$B$6)+'DCF_NKE'!$B$7-'DCF_NKE'!$B$8)-'DCF_NKE'!$B$3*(1+D155)^3*D155*'DCF_NKE'!$B$9)/(1+'DCF_NKE'!$B$10)^4+('DCF_NKE'!$B$3*(1+D155)^5*('DCF_NKE'!$B$5*(1-'DCF_NKE'!$B$6)+'DCF_NKE'!$B$7-'DCF_NKE'!$B$8)-'DCF_NKE'!$B$3*(1+D155)^4*D155*'DCF_NKE'!$B$9)/(1+'DCF_NKE'!$B$10)^5+('DCF_NKE'!$B$3*(1+D155)^5*(1+'DCF_NKE'!$B$11)*('DCF_NKE'!$B$5*(1-'DCF_NKE'!$B$6)+'DCF_NKE'!$B$7-'DCF_NKE'!$B$8)-'DCF_NKE'!$B$3*(1+D155)^5*'DCF_NKE'!$B$11*'DCF_NKE'!$B$9)/('DCF_NKE'!$B$10-'DCF_NKE'!$B$11)/(1+'DCF_NKE'!$B$10)^5-'DCF_NKE'!$B$13)/'DCF_NKE'!$B$12))</f>
        <v/>
      </c>
    </row>
    <row r="156" spans="1:5" x14ac:dyDescent="0.25">
      <c r="A156" s="4">
        <v>20</v>
      </c>
      <c r="B156" s="4" t="str">
        <f>IF($B$5="","",IF(E155&lt;$B$5,D155,B155))</f>
        <v/>
      </c>
      <c r="C156" s="4" t="str">
        <f>IF($B$5="","",IF(E155&lt;$B$5,C155,D155))</f>
        <v/>
      </c>
      <c r="D156" s="4" t="str">
        <f>IF($B$5="","",(B156+C156)/2)</f>
        <v/>
      </c>
      <c r="E156" s="4" t="str">
        <f>IF($B$5="","",((('DCF_NKE'!$B$3*(1+D156)^1*('DCF_NKE'!$B$5*(1-'DCF_NKE'!$B$6)+'DCF_NKE'!$B$7-'DCF_NKE'!$B$8)-'DCF_NKE'!$B$3*(1+D156)^0*D156*'DCF_NKE'!$B$9)/(1+'DCF_NKE'!$B$10)^1+('DCF_NKE'!$B$3*(1+D156)^2*('DCF_NKE'!$B$5*(1-'DCF_NKE'!$B$6)+'DCF_NKE'!$B$7-'DCF_NKE'!$B$8)-'DCF_NKE'!$B$3*(1+D156)^1*D156*'DCF_NKE'!$B$9)/(1+'DCF_NKE'!$B$10)^2+('DCF_NKE'!$B$3*(1+D156)^3*('DCF_NKE'!$B$5*(1-'DCF_NKE'!$B$6)+'DCF_NKE'!$B$7-'DCF_NKE'!$B$8)-'DCF_NKE'!$B$3*(1+D156)^2*D156*'DCF_NKE'!$B$9)/(1+'DCF_NKE'!$B$10)^3+('DCF_NKE'!$B$3*(1+D156)^4*('DCF_NKE'!$B$5*(1-'DCF_NKE'!$B$6)+'DCF_NKE'!$B$7-'DCF_NKE'!$B$8)-'DCF_NKE'!$B$3*(1+D156)^3*D156*'DCF_NKE'!$B$9)/(1+'DCF_NKE'!$B$10)^4+('DCF_NKE'!$B$3*(1+D156)^5*('DCF_NKE'!$B$5*(1-'DCF_NKE'!$B$6)+'DCF_NKE'!$B$7-'DCF_NKE'!$B$8)-'DCF_NKE'!$B$3*(1+D156)^4*D156*'DCF_NKE'!$B$9)/(1+'DCF_NKE'!$B$10)^5+('DCF_NKE'!$B$3*(1+D156)^5*(1+'DCF_NKE'!$B$11)*('DCF_NKE'!$B$5*(1-'DCF_NKE'!$B$6)+'DCF_NKE'!$B$7-'DCF_NKE'!$B$8)-'DCF_NKE'!$B$3*(1+D156)^5*'DCF_NKE'!$B$11*'DCF_NKE'!$B$9)/('DCF_NKE'!$B$10-'DCF_NKE'!$B$11)/(1+'DCF_NKE'!$B$10)^5-'DCF_NKE'!$B$13)/'DCF_NKE'!$B$12))</f>
        <v/>
      </c>
    </row>
    <row r="157" spans="1:5" x14ac:dyDescent="0.25">
      <c r="A157" s="4">
        <v>21</v>
      </c>
      <c r="B157" s="4" t="str">
        <f>IF($B$5="","",IF(E156&lt;$B$5,D156,B156))</f>
        <v/>
      </c>
      <c r="C157" s="4" t="str">
        <f>IF($B$5="","",IF(E156&lt;$B$5,C156,D156))</f>
        <v/>
      </c>
      <c r="D157" s="4" t="str">
        <f>IF($B$5="","",(B157+C157)/2)</f>
        <v/>
      </c>
      <c r="E157" s="4" t="str">
        <f>IF($B$5="","",((('DCF_NKE'!$B$3*(1+D157)^1*('DCF_NKE'!$B$5*(1-'DCF_NKE'!$B$6)+'DCF_NKE'!$B$7-'DCF_NKE'!$B$8)-'DCF_NKE'!$B$3*(1+D157)^0*D157*'DCF_NKE'!$B$9)/(1+'DCF_NKE'!$B$10)^1+('DCF_NKE'!$B$3*(1+D157)^2*('DCF_NKE'!$B$5*(1-'DCF_NKE'!$B$6)+'DCF_NKE'!$B$7-'DCF_NKE'!$B$8)-'DCF_NKE'!$B$3*(1+D157)^1*D157*'DCF_NKE'!$B$9)/(1+'DCF_NKE'!$B$10)^2+('DCF_NKE'!$B$3*(1+D157)^3*('DCF_NKE'!$B$5*(1-'DCF_NKE'!$B$6)+'DCF_NKE'!$B$7-'DCF_NKE'!$B$8)-'DCF_NKE'!$B$3*(1+D157)^2*D157*'DCF_NKE'!$B$9)/(1+'DCF_NKE'!$B$10)^3+('DCF_NKE'!$B$3*(1+D157)^4*('DCF_NKE'!$B$5*(1-'DCF_NKE'!$B$6)+'DCF_NKE'!$B$7-'DCF_NKE'!$B$8)-'DCF_NKE'!$B$3*(1+D157)^3*D157*'DCF_NKE'!$B$9)/(1+'DCF_NKE'!$B$10)^4+('DCF_NKE'!$B$3*(1+D157)^5*('DCF_NKE'!$B$5*(1-'DCF_NKE'!$B$6)+'DCF_NKE'!$B$7-'DCF_NKE'!$B$8)-'DCF_NKE'!$B$3*(1+D157)^4*D157*'DCF_NKE'!$B$9)/(1+'DCF_NKE'!$B$10)^5+('DCF_NKE'!$B$3*(1+D157)^5*(1+'DCF_NKE'!$B$11)*('DCF_NKE'!$B$5*(1-'DCF_NKE'!$B$6)+'DCF_NKE'!$B$7-'DCF_NKE'!$B$8)-'DCF_NKE'!$B$3*(1+D157)^5*'DCF_NKE'!$B$11*'DCF_NKE'!$B$9)/('DCF_NKE'!$B$10-'DCF_NKE'!$B$11)/(1+'DCF_NKE'!$B$10)^5-'DCF_NKE'!$B$13)/'DCF_NKE'!$B$12))</f>
        <v/>
      </c>
    </row>
    <row r="158" spans="1:5" x14ac:dyDescent="0.25">
      <c r="A158" s="4">
        <v>22</v>
      </c>
      <c r="B158" s="4" t="str">
        <f>IF($B$5="","",IF(E157&lt;$B$5,D157,B157))</f>
        <v/>
      </c>
      <c r="C158" s="4" t="str">
        <f>IF($B$5="","",IF(E157&lt;$B$5,C157,D157))</f>
        <v/>
      </c>
      <c r="D158" s="4" t="str">
        <f>IF($B$5="","",(B158+C158)/2)</f>
        <v/>
      </c>
      <c r="E158" s="4" t="str">
        <f>IF($B$5="","",((('DCF_NKE'!$B$3*(1+D158)^1*('DCF_NKE'!$B$5*(1-'DCF_NKE'!$B$6)+'DCF_NKE'!$B$7-'DCF_NKE'!$B$8)-'DCF_NKE'!$B$3*(1+D158)^0*D158*'DCF_NKE'!$B$9)/(1+'DCF_NKE'!$B$10)^1+('DCF_NKE'!$B$3*(1+D158)^2*('DCF_NKE'!$B$5*(1-'DCF_NKE'!$B$6)+'DCF_NKE'!$B$7-'DCF_NKE'!$B$8)-'DCF_NKE'!$B$3*(1+D158)^1*D158*'DCF_NKE'!$B$9)/(1+'DCF_NKE'!$B$10)^2+('DCF_NKE'!$B$3*(1+D158)^3*('DCF_NKE'!$B$5*(1-'DCF_NKE'!$B$6)+'DCF_NKE'!$B$7-'DCF_NKE'!$B$8)-'DCF_NKE'!$B$3*(1+D158)^2*D158*'DCF_NKE'!$B$9)/(1+'DCF_NKE'!$B$10)^3+('DCF_NKE'!$B$3*(1+D158)^4*('DCF_NKE'!$B$5*(1-'DCF_NKE'!$B$6)+'DCF_NKE'!$B$7-'DCF_NKE'!$B$8)-'DCF_NKE'!$B$3*(1+D158)^3*D158*'DCF_NKE'!$B$9)/(1+'DCF_NKE'!$B$10)^4+('DCF_NKE'!$B$3*(1+D158)^5*('DCF_NKE'!$B$5*(1-'DCF_NKE'!$B$6)+'DCF_NKE'!$B$7-'DCF_NKE'!$B$8)-'DCF_NKE'!$B$3*(1+D158)^4*D158*'DCF_NKE'!$B$9)/(1+'DCF_NKE'!$B$10)^5+('DCF_NKE'!$B$3*(1+D158)^5*(1+'DCF_NKE'!$B$11)*('DCF_NKE'!$B$5*(1-'DCF_NKE'!$B$6)+'DCF_NKE'!$B$7-'DCF_NKE'!$B$8)-'DCF_NKE'!$B$3*(1+D158)^5*'DCF_NKE'!$B$11*'DCF_NKE'!$B$9)/('DCF_NKE'!$B$10-'DCF_NKE'!$B$11)/(1+'DCF_NKE'!$B$10)^5-'DCF_NKE'!$B$13)/'DCF_NKE'!$B$12))</f>
        <v/>
      </c>
    </row>
    <row r="159" spans="1:5" x14ac:dyDescent="0.25">
      <c r="A159" s="4">
        <v>23</v>
      </c>
      <c r="B159" s="4" t="str">
        <f>IF($B$5="","",IF(E158&lt;$B$5,D158,B158))</f>
        <v/>
      </c>
      <c r="C159" s="4" t="str">
        <f>IF($B$5="","",IF(E158&lt;$B$5,C158,D158))</f>
        <v/>
      </c>
      <c r="D159" s="4" t="str">
        <f>IF($B$5="","",(B159+C159)/2)</f>
        <v/>
      </c>
      <c r="E159" s="4" t="str">
        <f>IF($B$5="","",((('DCF_NKE'!$B$3*(1+D159)^1*('DCF_NKE'!$B$5*(1-'DCF_NKE'!$B$6)+'DCF_NKE'!$B$7-'DCF_NKE'!$B$8)-'DCF_NKE'!$B$3*(1+D159)^0*D159*'DCF_NKE'!$B$9)/(1+'DCF_NKE'!$B$10)^1+('DCF_NKE'!$B$3*(1+D159)^2*('DCF_NKE'!$B$5*(1-'DCF_NKE'!$B$6)+'DCF_NKE'!$B$7-'DCF_NKE'!$B$8)-'DCF_NKE'!$B$3*(1+D159)^1*D159*'DCF_NKE'!$B$9)/(1+'DCF_NKE'!$B$10)^2+('DCF_NKE'!$B$3*(1+D159)^3*('DCF_NKE'!$B$5*(1-'DCF_NKE'!$B$6)+'DCF_NKE'!$B$7-'DCF_NKE'!$B$8)-'DCF_NKE'!$B$3*(1+D159)^2*D159*'DCF_NKE'!$B$9)/(1+'DCF_NKE'!$B$10)^3+('DCF_NKE'!$B$3*(1+D159)^4*('DCF_NKE'!$B$5*(1-'DCF_NKE'!$B$6)+'DCF_NKE'!$B$7-'DCF_NKE'!$B$8)-'DCF_NKE'!$B$3*(1+D159)^3*D159*'DCF_NKE'!$B$9)/(1+'DCF_NKE'!$B$10)^4+('DCF_NKE'!$B$3*(1+D159)^5*('DCF_NKE'!$B$5*(1-'DCF_NKE'!$B$6)+'DCF_NKE'!$B$7-'DCF_NKE'!$B$8)-'DCF_NKE'!$B$3*(1+D159)^4*D159*'DCF_NKE'!$B$9)/(1+'DCF_NKE'!$B$10)^5+('DCF_NKE'!$B$3*(1+D159)^5*(1+'DCF_NKE'!$B$11)*('DCF_NKE'!$B$5*(1-'DCF_NKE'!$B$6)+'DCF_NKE'!$B$7-'DCF_NKE'!$B$8)-'DCF_NKE'!$B$3*(1+D159)^5*'DCF_NKE'!$B$11*'DCF_NKE'!$B$9)/('DCF_NKE'!$B$10-'DCF_NKE'!$B$11)/(1+'DCF_NKE'!$B$10)^5-'DCF_NKE'!$B$13)/'DCF_NKE'!$B$12))</f>
        <v/>
      </c>
    </row>
    <row r="160" spans="1:5" x14ac:dyDescent="0.25">
      <c r="A160" s="4">
        <v>24</v>
      </c>
      <c r="B160" s="4" t="str">
        <f>IF($B$5="","",IF(E159&lt;$B$5,D159,B159))</f>
        <v/>
      </c>
      <c r="C160" s="4" t="str">
        <f>IF($B$5="","",IF(E159&lt;$B$5,C159,D159))</f>
        <v/>
      </c>
      <c r="D160" s="4" t="str">
        <f>IF($B$5="","",(B160+C160)/2)</f>
        <v/>
      </c>
      <c r="E160" s="4" t="str">
        <f>IF($B$5="","",((('DCF_NKE'!$B$3*(1+D160)^1*('DCF_NKE'!$B$5*(1-'DCF_NKE'!$B$6)+'DCF_NKE'!$B$7-'DCF_NKE'!$B$8)-'DCF_NKE'!$B$3*(1+D160)^0*D160*'DCF_NKE'!$B$9)/(1+'DCF_NKE'!$B$10)^1+('DCF_NKE'!$B$3*(1+D160)^2*('DCF_NKE'!$B$5*(1-'DCF_NKE'!$B$6)+'DCF_NKE'!$B$7-'DCF_NKE'!$B$8)-'DCF_NKE'!$B$3*(1+D160)^1*D160*'DCF_NKE'!$B$9)/(1+'DCF_NKE'!$B$10)^2+('DCF_NKE'!$B$3*(1+D160)^3*('DCF_NKE'!$B$5*(1-'DCF_NKE'!$B$6)+'DCF_NKE'!$B$7-'DCF_NKE'!$B$8)-'DCF_NKE'!$B$3*(1+D160)^2*D160*'DCF_NKE'!$B$9)/(1+'DCF_NKE'!$B$10)^3+('DCF_NKE'!$B$3*(1+D160)^4*('DCF_NKE'!$B$5*(1-'DCF_NKE'!$B$6)+'DCF_NKE'!$B$7-'DCF_NKE'!$B$8)-'DCF_NKE'!$B$3*(1+D160)^3*D160*'DCF_NKE'!$B$9)/(1+'DCF_NKE'!$B$10)^4+('DCF_NKE'!$B$3*(1+D160)^5*('DCF_NKE'!$B$5*(1-'DCF_NKE'!$B$6)+'DCF_NKE'!$B$7-'DCF_NKE'!$B$8)-'DCF_NKE'!$B$3*(1+D160)^4*D160*'DCF_NKE'!$B$9)/(1+'DCF_NKE'!$B$10)^5+('DCF_NKE'!$B$3*(1+D160)^5*(1+'DCF_NKE'!$B$11)*('DCF_NKE'!$B$5*(1-'DCF_NKE'!$B$6)+'DCF_NKE'!$B$7-'DCF_NKE'!$B$8)-'DCF_NKE'!$B$3*(1+D160)^5*'DCF_NKE'!$B$11*'DCF_NKE'!$B$9)/('DCF_NKE'!$B$10-'DCF_NKE'!$B$11)/(1+'DCF_NKE'!$B$10)^5-'DCF_NKE'!$B$13)/'DCF_NKE'!$B$12))</f>
        <v/>
      </c>
    </row>
    <row r="161" spans="1:5" x14ac:dyDescent="0.25">
      <c r="A161" s="4">
        <v>25</v>
      </c>
      <c r="B161" s="4" t="str">
        <f>IF($B$5="","",IF(E160&lt;$B$5,D160,B160))</f>
        <v/>
      </c>
      <c r="C161" s="4" t="str">
        <f>IF($B$5="","",IF(E160&lt;$B$5,C160,D160))</f>
        <v/>
      </c>
      <c r="D161" s="4" t="str">
        <f>IF($B$5="","",(B161+C161)/2)</f>
        <v/>
      </c>
      <c r="E161" s="4" t="str">
        <f>IF($B$5="","",((('DCF_NKE'!$B$3*(1+D161)^1*('DCF_NKE'!$B$5*(1-'DCF_NKE'!$B$6)+'DCF_NKE'!$B$7-'DCF_NKE'!$B$8)-'DCF_NKE'!$B$3*(1+D161)^0*D161*'DCF_NKE'!$B$9)/(1+'DCF_NKE'!$B$10)^1+('DCF_NKE'!$B$3*(1+D161)^2*('DCF_NKE'!$B$5*(1-'DCF_NKE'!$B$6)+'DCF_NKE'!$B$7-'DCF_NKE'!$B$8)-'DCF_NKE'!$B$3*(1+D161)^1*D161*'DCF_NKE'!$B$9)/(1+'DCF_NKE'!$B$10)^2+('DCF_NKE'!$B$3*(1+D161)^3*('DCF_NKE'!$B$5*(1-'DCF_NKE'!$B$6)+'DCF_NKE'!$B$7-'DCF_NKE'!$B$8)-'DCF_NKE'!$B$3*(1+D161)^2*D161*'DCF_NKE'!$B$9)/(1+'DCF_NKE'!$B$10)^3+('DCF_NKE'!$B$3*(1+D161)^4*('DCF_NKE'!$B$5*(1-'DCF_NKE'!$B$6)+'DCF_NKE'!$B$7-'DCF_NKE'!$B$8)-'DCF_NKE'!$B$3*(1+D161)^3*D161*'DCF_NKE'!$B$9)/(1+'DCF_NKE'!$B$10)^4+('DCF_NKE'!$B$3*(1+D161)^5*('DCF_NKE'!$B$5*(1-'DCF_NKE'!$B$6)+'DCF_NKE'!$B$7-'DCF_NKE'!$B$8)-'DCF_NKE'!$B$3*(1+D161)^4*D161*'DCF_NKE'!$B$9)/(1+'DCF_NKE'!$B$10)^5+('DCF_NKE'!$B$3*(1+D161)^5*(1+'DCF_NKE'!$B$11)*('DCF_NKE'!$B$5*(1-'DCF_NKE'!$B$6)+'DCF_NKE'!$B$7-'DCF_NKE'!$B$8)-'DCF_NKE'!$B$3*(1+D161)^5*'DCF_NKE'!$B$11*'DCF_NKE'!$B$9)/('DCF_NKE'!$B$10-'DCF_NKE'!$B$11)/(1+'DCF_NKE'!$B$10)^5-'DCF_NKE'!$B$13)/'DCF_NKE'!$B$12))</f>
        <v/>
      </c>
    </row>
    <row r="162" spans="1:5" x14ac:dyDescent="0.25">
      <c r="A162" s="4">
        <v>26</v>
      </c>
      <c r="B162" s="4" t="str">
        <f>IF($B$5="","",IF(E161&lt;$B$5,D161,B161))</f>
        <v/>
      </c>
      <c r="C162" s="4" t="str">
        <f>IF($B$5="","",IF(E161&lt;$B$5,C161,D161))</f>
        <v/>
      </c>
      <c r="D162" s="4" t="str">
        <f>IF($B$5="","",(B162+C162)/2)</f>
        <v/>
      </c>
      <c r="E162" s="4" t="str">
        <f>IF($B$5="","",((('DCF_NKE'!$B$3*(1+D162)^1*('DCF_NKE'!$B$5*(1-'DCF_NKE'!$B$6)+'DCF_NKE'!$B$7-'DCF_NKE'!$B$8)-'DCF_NKE'!$B$3*(1+D162)^0*D162*'DCF_NKE'!$B$9)/(1+'DCF_NKE'!$B$10)^1+('DCF_NKE'!$B$3*(1+D162)^2*('DCF_NKE'!$B$5*(1-'DCF_NKE'!$B$6)+'DCF_NKE'!$B$7-'DCF_NKE'!$B$8)-'DCF_NKE'!$B$3*(1+D162)^1*D162*'DCF_NKE'!$B$9)/(1+'DCF_NKE'!$B$10)^2+('DCF_NKE'!$B$3*(1+D162)^3*('DCF_NKE'!$B$5*(1-'DCF_NKE'!$B$6)+'DCF_NKE'!$B$7-'DCF_NKE'!$B$8)-'DCF_NKE'!$B$3*(1+D162)^2*D162*'DCF_NKE'!$B$9)/(1+'DCF_NKE'!$B$10)^3+('DCF_NKE'!$B$3*(1+D162)^4*('DCF_NKE'!$B$5*(1-'DCF_NKE'!$B$6)+'DCF_NKE'!$B$7-'DCF_NKE'!$B$8)-'DCF_NKE'!$B$3*(1+D162)^3*D162*'DCF_NKE'!$B$9)/(1+'DCF_NKE'!$B$10)^4+('DCF_NKE'!$B$3*(1+D162)^5*('DCF_NKE'!$B$5*(1-'DCF_NKE'!$B$6)+'DCF_NKE'!$B$7-'DCF_NKE'!$B$8)-'DCF_NKE'!$B$3*(1+D162)^4*D162*'DCF_NKE'!$B$9)/(1+'DCF_NKE'!$B$10)^5+('DCF_NKE'!$B$3*(1+D162)^5*(1+'DCF_NKE'!$B$11)*('DCF_NKE'!$B$5*(1-'DCF_NKE'!$B$6)+'DCF_NKE'!$B$7-'DCF_NKE'!$B$8)-'DCF_NKE'!$B$3*(1+D162)^5*'DCF_NKE'!$B$11*'DCF_NKE'!$B$9)/('DCF_NKE'!$B$10-'DCF_NKE'!$B$11)/(1+'DCF_NKE'!$B$10)^5-'DCF_NKE'!$B$13)/'DCF_NKE'!$B$12))</f>
        <v/>
      </c>
    </row>
    <row r="163" spans="1:5" x14ac:dyDescent="0.25">
      <c r="A163" s="4">
        <v>27</v>
      </c>
      <c r="B163" s="4" t="str">
        <f>IF($B$5="","",IF(E162&lt;$B$5,D162,B162))</f>
        <v/>
      </c>
      <c r="C163" s="4" t="str">
        <f>IF($B$5="","",IF(E162&lt;$B$5,C162,D162))</f>
        <v/>
      </c>
      <c r="D163" s="4" t="str">
        <f>IF($B$5="","",(B163+C163)/2)</f>
        <v/>
      </c>
      <c r="E163" s="4" t="str">
        <f>IF($B$5="","",((('DCF_NKE'!$B$3*(1+D163)^1*('DCF_NKE'!$B$5*(1-'DCF_NKE'!$B$6)+'DCF_NKE'!$B$7-'DCF_NKE'!$B$8)-'DCF_NKE'!$B$3*(1+D163)^0*D163*'DCF_NKE'!$B$9)/(1+'DCF_NKE'!$B$10)^1+('DCF_NKE'!$B$3*(1+D163)^2*('DCF_NKE'!$B$5*(1-'DCF_NKE'!$B$6)+'DCF_NKE'!$B$7-'DCF_NKE'!$B$8)-'DCF_NKE'!$B$3*(1+D163)^1*D163*'DCF_NKE'!$B$9)/(1+'DCF_NKE'!$B$10)^2+('DCF_NKE'!$B$3*(1+D163)^3*('DCF_NKE'!$B$5*(1-'DCF_NKE'!$B$6)+'DCF_NKE'!$B$7-'DCF_NKE'!$B$8)-'DCF_NKE'!$B$3*(1+D163)^2*D163*'DCF_NKE'!$B$9)/(1+'DCF_NKE'!$B$10)^3+('DCF_NKE'!$B$3*(1+D163)^4*('DCF_NKE'!$B$5*(1-'DCF_NKE'!$B$6)+'DCF_NKE'!$B$7-'DCF_NKE'!$B$8)-'DCF_NKE'!$B$3*(1+D163)^3*D163*'DCF_NKE'!$B$9)/(1+'DCF_NKE'!$B$10)^4+('DCF_NKE'!$B$3*(1+D163)^5*('DCF_NKE'!$B$5*(1-'DCF_NKE'!$B$6)+'DCF_NKE'!$B$7-'DCF_NKE'!$B$8)-'DCF_NKE'!$B$3*(1+D163)^4*D163*'DCF_NKE'!$B$9)/(1+'DCF_NKE'!$B$10)^5+('DCF_NKE'!$B$3*(1+D163)^5*(1+'DCF_NKE'!$B$11)*('DCF_NKE'!$B$5*(1-'DCF_NKE'!$B$6)+'DCF_NKE'!$B$7-'DCF_NKE'!$B$8)-'DCF_NKE'!$B$3*(1+D163)^5*'DCF_NKE'!$B$11*'DCF_NKE'!$B$9)/('DCF_NKE'!$B$10-'DCF_NKE'!$B$11)/(1+'DCF_NKE'!$B$10)^5-'DCF_NKE'!$B$13)/'DCF_NKE'!$B$12))</f>
        <v/>
      </c>
    </row>
    <row r="164" spans="1:5" x14ac:dyDescent="0.25">
      <c r="A164" s="4">
        <v>28</v>
      </c>
      <c r="B164" s="4" t="str">
        <f>IF($B$5="","",IF(E163&lt;$B$5,D163,B163))</f>
        <v/>
      </c>
      <c r="C164" s="4" t="str">
        <f>IF($B$5="","",IF(E163&lt;$B$5,C163,D163))</f>
        <v/>
      </c>
      <c r="D164" s="4" t="str">
        <f>IF($B$5="","",(B164+C164)/2)</f>
        <v/>
      </c>
      <c r="E164" s="4" t="str">
        <f>IF($B$5="","",((('DCF_NKE'!$B$3*(1+D164)^1*('DCF_NKE'!$B$5*(1-'DCF_NKE'!$B$6)+'DCF_NKE'!$B$7-'DCF_NKE'!$B$8)-'DCF_NKE'!$B$3*(1+D164)^0*D164*'DCF_NKE'!$B$9)/(1+'DCF_NKE'!$B$10)^1+('DCF_NKE'!$B$3*(1+D164)^2*('DCF_NKE'!$B$5*(1-'DCF_NKE'!$B$6)+'DCF_NKE'!$B$7-'DCF_NKE'!$B$8)-'DCF_NKE'!$B$3*(1+D164)^1*D164*'DCF_NKE'!$B$9)/(1+'DCF_NKE'!$B$10)^2+('DCF_NKE'!$B$3*(1+D164)^3*('DCF_NKE'!$B$5*(1-'DCF_NKE'!$B$6)+'DCF_NKE'!$B$7-'DCF_NKE'!$B$8)-'DCF_NKE'!$B$3*(1+D164)^2*D164*'DCF_NKE'!$B$9)/(1+'DCF_NKE'!$B$10)^3+('DCF_NKE'!$B$3*(1+D164)^4*('DCF_NKE'!$B$5*(1-'DCF_NKE'!$B$6)+'DCF_NKE'!$B$7-'DCF_NKE'!$B$8)-'DCF_NKE'!$B$3*(1+D164)^3*D164*'DCF_NKE'!$B$9)/(1+'DCF_NKE'!$B$10)^4+('DCF_NKE'!$B$3*(1+D164)^5*('DCF_NKE'!$B$5*(1-'DCF_NKE'!$B$6)+'DCF_NKE'!$B$7-'DCF_NKE'!$B$8)-'DCF_NKE'!$B$3*(1+D164)^4*D164*'DCF_NKE'!$B$9)/(1+'DCF_NKE'!$B$10)^5+('DCF_NKE'!$B$3*(1+D164)^5*(1+'DCF_NKE'!$B$11)*('DCF_NKE'!$B$5*(1-'DCF_NKE'!$B$6)+'DCF_NKE'!$B$7-'DCF_NKE'!$B$8)-'DCF_NKE'!$B$3*(1+D164)^5*'DCF_NKE'!$B$11*'DCF_NKE'!$B$9)/('DCF_NKE'!$B$10-'DCF_NKE'!$B$11)/(1+'DCF_NKE'!$B$10)^5-'DCF_NKE'!$B$13)/'DCF_NKE'!$B$12))</f>
        <v/>
      </c>
    </row>
    <row r="165" spans="1:5" x14ac:dyDescent="0.25">
      <c r="A165" s="4">
        <v>29</v>
      </c>
      <c r="B165" s="4" t="str">
        <f>IF($B$5="","",IF(E164&lt;$B$5,D164,B164))</f>
        <v/>
      </c>
      <c r="C165" s="4" t="str">
        <f>IF($B$5="","",IF(E164&lt;$B$5,C164,D164))</f>
        <v/>
      </c>
      <c r="D165" s="4" t="str">
        <f>IF($B$5="","",(B165+C165)/2)</f>
        <v/>
      </c>
      <c r="E165" s="4" t="str">
        <f>IF($B$5="","",((('DCF_NKE'!$B$3*(1+D165)^1*('DCF_NKE'!$B$5*(1-'DCF_NKE'!$B$6)+'DCF_NKE'!$B$7-'DCF_NKE'!$B$8)-'DCF_NKE'!$B$3*(1+D165)^0*D165*'DCF_NKE'!$B$9)/(1+'DCF_NKE'!$B$10)^1+('DCF_NKE'!$B$3*(1+D165)^2*('DCF_NKE'!$B$5*(1-'DCF_NKE'!$B$6)+'DCF_NKE'!$B$7-'DCF_NKE'!$B$8)-'DCF_NKE'!$B$3*(1+D165)^1*D165*'DCF_NKE'!$B$9)/(1+'DCF_NKE'!$B$10)^2+('DCF_NKE'!$B$3*(1+D165)^3*('DCF_NKE'!$B$5*(1-'DCF_NKE'!$B$6)+'DCF_NKE'!$B$7-'DCF_NKE'!$B$8)-'DCF_NKE'!$B$3*(1+D165)^2*D165*'DCF_NKE'!$B$9)/(1+'DCF_NKE'!$B$10)^3+('DCF_NKE'!$B$3*(1+D165)^4*('DCF_NKE'!$B$5*(1-'DCF_NKE'!$B$6)+'DCF_NKE'!$B$7-'DCF_NKE'!$B$8)-'DCF_NKE'!$B$3*(1+D165)^3*D165*'DCF_NKE'!$B$9)/(1+'DCF_NKE'!$B$10)^4+('DCF_NKE'!$B$3*(1+D165)^5*('DCF_NKE'!$B$5*(1-'DCF_NKE'!$B$6)+'DCF_NKE'!$B$7-'DCF_NKE'!$B$8)-'DCF_NKE'!$B$3*(1+D165)^4*D165*'DCF_NKE'!$B$9)/(1+'DCF_NKE'!$B$10)^5+('DCF_NKE'!$B$3*(1+D165)^5*(1+'DCF_NKE'!$B$11)*('DCF_NKE'!$B$5*(1-'DCF_NKE'!$B$6)+'DCF_NKE'!$B$7-'DCF_NKE'!$B$8)-'DCF_NKE'!$B$3*(1+D165)^5*'DCF_NKE'!$B$11*'DCF_NKE'!$B$9)/('DCF_NKE'!$B$10-'DCF_NKE'!$B$11)/(1+'DCF_NKE'!$B$10)^5-'DCF_NKE'!$B$13)/'DCF_NKE'!$B$12))</f>
        <v/>
      </c>
    </row>
    <row r="166" spans="1:5" x14ac:dyDescent="0.25">
      <c r="A166" s="4">
        <v>30</v>
      </c>
      <c r="B166" s="4" t="str">
        <f>IF($B$5="","",IF(E165&lt;$B$5,D165,B165))</f>
        <v/>
      </c>
      <c r="C166" s="4" t="str">
        <f>IF($B$5="","",IF(E165&lt;$B$5,C165,D165))</f>
        <v/>
      </c>
      <c r="D166" s="4" t="str">
        <f>IF($B$5="","",(B166+C166)/2)</f>
        <v/>
      </c>
      <c r="E166" s="4" t="str">
        <f>IF($B$5="","",((('DCF_NKE'!$B$3*(1+D166)^1*('DCF_NKE'!$B$5*(1-'DCF_NKE'!$B$6)+'DCF_NKE'!$B$7-'DCF_NKE'!$B$8)-'DCF_NKE'!$B$3*(1+D166)^0*D166*'DCF_NKE'!$B$9)/(1+'DCF_NKE'!$B$10)^1+('DCF_NKE'!$B$3*(1+D166)^2*('DCF_NKE'!$B$5*(1-'DCF_NKE'!$B$6)+'DCF_NKE'!$B$7-'DCF_NKE'!$B$8)-'DCF_NKE'!$B$3*(1+D166)^1*D166*'DCF_NKE'!$B$9)/(1+'DCF_NKE'!$B$10)^2+('DCF_NKE'!$B$3*(1+D166)^3*('DCF_NKE'!$B$5*(1-'DCF_NKE'!$B$6)+'DCF_NKE'!$B$7-'DCF_NKE'!$B$8)-'DCF_NKE'!$B$3*(1+D166)^2*D166*'DCF_NKE'!$B$9)/(1+'DCF_NKE'!$B$10)^3+('DCF_NKE'!$B$3*(1+D166)^4*('DCF_NKE'!$B$5*(1-'DCF_NKE'!$B$6)+'DCF_NKE'!$B$7-'DCF_NKE'!$B$8)-'DCF_NKE'!$B$3*(1+D166)^3*D166*'DCF_NKE'!$B$9)/(1+'DCF_NKE'!$B$10)^4+('DCF_NKE'!$B$3*(1+D166)^5*('DCF_NKE'!$B$5*(1-'DCF_NKE'!$B$6)+'DCF_NKE'!$B$7-'DCF_NKE'!$B$8)-'DCF_NKE'!$B$3*(1+D166)^4*D166*'DCF_NKE'!$B$9)/(1+'DCF_NKE'!$B$10)^5+('DCF_NKE'!$B$3*(1+D166)^5*(1+'DCF_NKE'!$B$11)*('DCF_NKE'!$B$5*(1-'DCF_NKE'!$B$6)+'DCF_NKE'!$B$7-'DCF_NKE'!$B$8)-'DCF_NKE'!$B$3*(1+D166)^5*'DCF_NKE'!$B$11*'DCF_NKE'!$B$9)/('DCF_NKE'!$B$10-'DCF_NKE'!$B$11)/(1+'DCF_NKE'!$B$10)^5-'DCF_NKE'!$B$13)/'DCF_NKE'!$B$12))</f>
        <v/>
      </c>
    </row>
    <row r="167" spans="1:5" x14ac:dyDescent="0.25">
      <c r="A167" s="4">
        <v>31</v>
      </c>
      <c r="B167" s="4" t="str">
        <f>IF($B$5="","",IF(E166&lt;$B$5,D166,B166))</f>
        <v/>
      </c>
      <c r="C167" s="4" t="str">
        <f>IF($B$5="","",IF(E166&lt;$B$5,C166,D166))</f>
        <v/>
      </c>
      <c r="D167" s="4" t="str">
        <f>IF($B$5="","",(B167+C167)/2)</f>
        <v/>
      </c>
      <c r="E167" s="4" t="str">
        <f>IF($B$5="","",((('DCF_NKE'!$B$3*(1+D167)^1*('DCF_NKE'!$B$5*(1-'DCF_NKE'!$B$6)+'DCF_NKE'!$B$7-'DCF_NKE'!$B$8)-'DCF_NKE'!$B$3*(1+D167)^0*D167*'DCF_NKE'!$B$9)/(1+'DCF_NKE'!$B$10)^1+('DCF_NKE'!$B$3*(1+D167)^2*('DCF_NKE'!$B$5*(1-'DCF_NKE'!$B$6)+'DCF_NKE'!$B$7-'DCF_NKE'!$B$8)-'DCF_NKE'!$B$3*(1+D167)^1*D167*'DCF_NKE'!$B$9)/(1+'DCF_NKE'!$B$10)^2+('DCF_NKE'!$B$3*(1+D167)^3*('DCF_NKE'!$B$5*(1-'DCF_NKE'!$B$6)+'DCF_NKE'!$B$7-'DCF_NKE'!$B$8)-'DCF_NKE'!$B$3*(1+D167)^2*D167*'DCF_NKE'!$B$9)/(1+'DCF_NKE'!$B$10)^3+('DCF_NKE'!$B$3*(1+D167)^4*('DCF_NKE'!$B$5*(1-'DCF_NKE'!$B$6)+'DCF_NKE'!$B$7-'DCF_NKE'!$B$8)-'DCF_NKE'!$B$3*(1+D167)^3*D167*'DCF_NKE'!$B$9)/(1+'DCF_NKE'!$B$10)^4+('DCF_NKE'!$B$3*(1+D167)^5*('DCF_NKE'!$B$5*(1-'DCF_NKE'!$B$6)+'DCF_NKE'!$B$7-'DCF_NKE'!$B$8)-'DCF_NKE'!$B$3*(1+D167)^4*D167*'DCF_NKE'!$B$9)/(1+'DCF_NKE'!$B$10)^5+('DCF_NKE'!$B$3*(1+D167)^5*(1+'DCF_NKE'!$B$11)*('DCF_NKE'!$B$5*(1-'DCF_NKE'!$B$6)+'DCF_NKE'!$B$7-'DCF_NKE'!$B$8)-'DCF_NKE'!$B$3*(1+D167)^5*'DCF_NKE'!$B$11*'DCF_NKE'!$B$9)/('DCF_NKE'!$B$10-'DCF_NKE'!$B$11)/(1+'DCF_NKE'!$B$10)^5-'DCF_NKE'!$B$13)/'DCF_NKE'!$B$12))</f>
        <v/>
      </c>
    </row>
    <row r="168" spans="1:5" x14ac:dyDescent="0.25">
      <c r="A168" s="4">
        <v>32</v>
      </c>
      <c r="B168" s="4" t="str">
        <f>IF($B$5="","",IF(E167&lt;$B$5,D167,B167))</f>
        <v/>
      </c>
      <c r="C168" s="4" t="str">
        <f>IF($B$5="","",IF(E167&lt;$B$5,C167,D167))</f>
        <v/>
      </c>
      <c r="D168" s="4" t="str">
        <f>IF($B$5="","",(B168+C168)/2)</f>
        <v/>
      </c>
      <c r="E168" s="4" t="str">
        <f>IF($B$5="","",((('DCF_NKE'!$B$3*(1+D168)^1*('DCF_NKE'!$B$5*(1-'DCF_NKE'!$B$6)+'DCF_NKE'!$B$7-'DCF_NKE'!$B$8)-'DCF_NKE'!$B$3*(1+D168)^0*D168*'DCF_NKE'!$B$9)/(1+'DCF_NKE'!$B$10)^1+('DCF_NKE'!$B$3*(1+D168)^2*('DCF_NKE'!$B$5*(1-'DCF_NKE'!$B$6)+'DCF_NKE'!$B$7-'DCF_NKE'!$B$8)-'DCF_NKE'!$B$3*(1+D168)^1*D168*'DCF_NKE'!$B$9)/(1+'DCF_NKE'!$B$10)^2+('DCF_NKE'!$B$3*(1+D168)^3*('DCF_NKE'!$B$5*(1-'DCF_NKE'!$B$6)+'DCF_NKE'!$B$7-'DCF_NKE'!$B$8)-'DCF_NKE'!$B$3*(1+D168)^2*D168*'DCF_NKE'!$B$9)/(1+'DCF_NKE'!$B$10)^3+('DCF_NKE'!$B$3*(1+D168)^4*('DCF_NKE'!$B$5*(1-'DCF_NKE'!$B$6)+'DCF_NKE'!$B$7-'DCF_NKE'!$B$8)-'DCF_NKE'!$B$3*(1+D168)^3*D168*'DCF_NKE'!$B$9)/(1+'DCF_NKE'!$B$10)^4+('DCF_NKE'!$B$3*(1+D168)^5*('DCF_NKE'!$B$5*(1-'DCF_NKE'!$B$6)+'DCF_NKE'!$B$7-'DCF_NKE'!$B$8)-'DCF_NKE'!$B$3*(1+D168)^4*D168*'DCF_NKE'!$B$9)/(1+'DCF_NKE'!$B$10)^5+('DCF_NKE'!$B$3*(1+D168)^5*(1+'DCF_NKE'!$B$11)*('DCF_NKE'!$B$5*(1-'DCF_NKE'!$B$6)+'DCF_NKE'!$B$7-'DCF_NKE'!$B$8)-'DCF_NKE'!$B$3*(1+D168)^5*'DCF_NKE'!$B$11*'DCF_NKE'!$B$9)/('DCF_NKE'!$B$10-'DCF_NKE'!$B$11)/(1+'DCF_NKE'!$B$10)^5-'DCF_NKE'!$B$13)/'DCF_NKE'!$B$12))</f>
        <v/>
      </c>
    </row>
    <row r="169" spans="1:5" x14ac:dyDescent="0.25">
      <c r="A169" s="4">
        <v>33</v>
      </c>
      <c r="B169" s="4" t="str">
        <f>IF($B$5="","",IF(E168&lt;$B$5,D168,B168))</f>
        <v/>
      </c>
      <c r="C169" s="4" t="str">
        <f>IF($B$5="","",IF(E168&lt;$B$5,C168,D168))</f>
        <v/>
      </c>
      <c r="D169" s="4" t="str">
        <f>IF($B$5="","",(B169+C169)/2)</f>
        <v/>
      </c>
      <c r="E169" s="4" t="str">
        <f>IF($B$5="","",((('DCF_NKE'!$B$3*(1+D169)^1*('DCF_NKE'!$B$5*(1-'DCF_NKE'!$B$6)+'DCF_NKE'!$B$7-'DCF_NKE'!$B$8)-'DCF_NKE'!$B$3*(1+D169)^0*D169*'DCF_NKE'!$B$9)/(1+'DCF_NKE'!$B$10)^1+('DCF_NKE'!$B$3*(1+D169)^2*('DCF_NKE'!$B$5*(1-'DCF_NKE'!$B$6)+'DCF_NKE'!$B$7-'DCF_NKE'!$B$8)-'DCF_NKE'!$B$3*(1+D169)^1*D169*'DCF_NKE'!$B$9)/(1+'DCF_NKE'!$B$10)^2+('DCF_NKE'!$B$3*(1+D169)^3*('DCF_NKE'!$B$5*(1-'DCF_NKE'!$B$6)+'DCF_NKE'!$B$7-'DCF_NKE'!$B$8)-'DCF_NKE'!$B$3*(1+D169)^2*D169*'DCF_NKE'!$B$9)/(1+'DCF_NKE'!$B$10)^3+('DCF_NKE'!$B$3*(1+D169)^4*('DCF_NKE'!$B$5*(1-'DCF_NKE'!$B$6)+'DCF_NKE'!$B$7-'DCF_NKE'!$B$8)-'DCF_NKE'!$B$3*(1+D169)^3*D169*'DCF_NKE'!$B$9)/(1+'DCF_NKE'!$B$10)^4+('DCF_NKE'!$B$3*(1+D169)^5*('DCF_NKE'!$B$5*(1-'DCF_NKE'!$B$6)+'DCF_NKE'!$B$7-'DCF_NKE'!$B$8)-'DCF_NKE'!$B$3*(1+D169)^4*D169*'DCF_NKE'!$B$9)/(1+'DCF_NKE'!$B$10)^5+('DCF_NKE'!$B$3*(1+D169)^5*(1+'DCF_NKE'!$B$11)*('DCF_NKE'!$B$5*(1-'DCF_NKE'!$B$6)+'DCF_NKE'!$B$7-'DCF_NKE'!$B$8)-'DCF_NKE'!$B$3*(1+D169)^5*'DCF_NKE'!$B$11*'DCF_NKE'!$B$9)/('DCF_NKE'!$B$10-'DCF_NKE'!$B$11)/(1+'DCF_NKE'!$B$10)^5-'DCF_NKE'!$B$13)/'DCF_NKE'!$B$12))</f>
        <v/>
      </c>
    </row>
    <row r="170" spans="1:5" x14ac:dyDescent="0.25">
      <c r="A170" s="4">
        <v>34</v>
      </c>
      <c r="B170" s="4" t="str">
        <f>IF($B$5="","",IF(E169&lt;$B$5,D169,B169))</f>
        <v/>
      </c>
      <c r="C170" s="4" t="str">
        <f>IF($B$5="","",IF(E169&lt;$B$5,C169,D169))</f>
        <v/>
      </c>
      <c r="D170" s="4" t="str">
        <f>IF($B$5="","",(B170+C170)/2)</f>
        <v/>
      </c>
      <c r="E170" s="4" t="str">
        <f>IF($B$5="","",((('DCF_NKE'!$B$3*(1+D170)^1*('DCF_NKE'!$B$5*(1-'DCF_NKE'!$B$6)+'DCF_NKE'!$B$7-'DCF_NKE'!$B$8)-'DCF_NKE'!$B$3*(1+D170)^0*D170*'DCF_NKE'!$B$9)/(1+'DCF_NKE'!$B$10)^1+('DCF_NKE'!$B$3*(1+D170)^2*('DCF_NKE'!$B$5*(1-'DCF_NKE'!$B$6)+'DCF_NKE'!$B$7-'DCF_NKE'!$B$8)-'DCF_NKE'!$B$3*(1+D170)^1*D170*'DCF_NKE'!$B$9)/(1+'DCF_NKE'!$B$10)^2+('DCF_NKE'!$B$3*(1+D170)^3*('DCF_NKE'!$B$5*(1-'DCF_NKE'!$B$6)+'DCF_NKE'!$B$7-'DCF_NKE'!$B$8)-'DCF_NKE'!$B$3*(1+D170)^2*D170*'DCF_NKE'!$B$9)/(1+'DCF_NKE'!$B$10)^3+('DCF_NKE'!$B$3*(1+D170)^4*('DCF_NKE'!$B$5*(1-'DCF_NKE'!$B$6)+'DCF_NKE'!$B$7-'DCF_NKE'!$B$8)-'DCF_NKE'!$B$3*(1+D170)^3*D170*'DCF_NKE'!$B$9)/(1+'DCF_NKE'!$B$10)^4+('DCF_NKE'!$B$3*(1+D170)^5*('DCF_NKE'!$B$5*(1-'DCF_NKE'!$B$6)+'DCF_NKE'!$B$7-'DCF_NKE'!$B$8)-'DCF_NKE'!$B$3*(1+D170)^4*D170*'DCF_NKE'!$B$9)/(1+'DCF_NKE'!$B$10)^5+('DCF_NKE'!$B$3*(1+D170)^5*(1+'DCF_NKE'!$B$11)*('DCF_NKE'!$B$5*(1-'DCF_NKE'!$B$6)+'DCF_NKE'!$B$7-'DCF_NKE'!$B$8)-'DCF_NKE'!$B$3*(1+D170)^5*'DCF_NKE'!$B$11*'DCF_NKE'!$B$9)/('DCF_NKE'!$B$10-'DCF_NKE'!$B$11)/(1+'DCF_NKE'!$B$10)^5-'DCF_NKE'!$B$13)/'DCF_NKE'!$B$12))</f>
        <v/>
      </c>
    </row>
    <row r="171" spans="1:5" x14ac:dyDescent="0.25">
      <c r="A171" s="4">
        <v>35</v>
      </c>
      <c r="B171" s="4" t="str">
        <f>IF($B$5="","",IF(E170&lt;$B$5,D170,B170))</f>
        <v/>
      </c>
      <c r="C171" s="4" t="str">
        <f>IF($B$5="","",IF(E170&lt;$B$5,C170,D170))</f>
        <v/>
      </c>
      <c r="D171" s="4" t="str">
        <f>IF($B$5="","",(B171+C171)/2)</f>
        <v/>
      </c>
      <c r="E171" s="4" t="str">
        <f>IF($B$5="","",((('DCF_NKE'!$B$3*(1+D171)^1*('DCF_NKE'!$B$5*(1-'DCF_NKE'!$B$6)+'DCF_NKE'!$B$7-'DCF_NKE'!$B$8)-'DCF_NKE'!$B$3*(1+D171)^0*D171*'DCF_NKE'!$B$9)/(1+'DCF_NKE'!$B$10)^1+('DCF_NKE'!$B$3*(1+D171)^2*('DCF_NKE'!$B$5*(1-'DCF_NKE'!$B$6)+'DCF_NKE'!$B$7-'DCF_NKE'!$B$8)-'DCF_NKE'!$B$3*(1+D171)^1*D171*'DCF_NKE'!$B$9)/(1+'DCF_NKE'!$B$10)^2+('DCF_NKE'!$B$3*(1+D171)^3*('DCF_NKE'!$B$5*(1-'DCF_NKE'!$B$6)+'DCF_NKE'!$B$7-'DCF_NKE'!$B$8)-'DCF_NKE'!$B$3*(1+D171)^2*D171*'DCF_NKE'!$B$9)/(1+'DCF_NKE'!$B$10)^3+('DCF_NKE'!$B$3*(1+D171)^4*('DCF_NKE'!$B$5*(1-'DCF_NKE'!$B$6)+'DCF_NKE'!$B$7-'DCF_NKE'!$B$8)-'DCF_NKE'!$B$3*(1+D171)^3*D171*'DCF_NKE'!$B$9)/(1+'DCF_NKE'!$B$10)^4+('DCF_NKE'!$B$3*(1+D171)^5*('DCF_NKE'!$B$5*(1-'DCF_NKE'!$B$6)+'DCF_NKE'!$B$7-'DCF_NKE'!$B$8)-'DCF_NKE'!$B$3*(1+D171)^4*D171*'DCF_NKE'!$B$9)/(1+'DCF_NKE'!$B$10)^5+('DCF_NKE'!$B$3*(1+D171)^5*(1+'DCF_NKE'!$B$11)*('DCF_NKE'!$B$5*(1-'DCF_NKE'!$B$6)+'DCF_NKE'!$B$7-'DCF_NKE'!$B$8)-'DCF_NKE'!$B$3*(1+D171)^5*'DCF_NKE'!$B$11*'DCF_NKE'!$B$9)/('DCF_NKE'!$B$10-'DCF_NKE'!$B$11)/(1+'DCF_NKE'!$B$10)^5-'DCF_NKE'!$B$13)/'DCF_NKE'!$B$12))</f>
        <v/>
      </c>
    </row>
    <row r="172" spans="1:5" x14ac:dyDescent="0.25">
      <c r="A172" s="4">
        <v>36</v>
      </c>
      <c r="B172" s="4" t="str">
        <f>IF($B$5="","",IF(E171&lt;$B$5,D171,B171))</f>
        <v/>
      </c>
      <c r="C172" s="4" t="str">
        <f>IF($B$5="","",IF(E171&lt;$B$5,C171,D171))</f>
        <v/>
      </c>
      <c r="D172" s="4" t="str">
        <f>IF($B$5="","",(B172+C172)/2)</f>
        <v/>
      </c>
      <c r="E172" s="4" t="str">
        <f>IF($B$5="","",((('DCF_NKE'!$B$3*(1+D172)^1*('DCF_NKE'!$B$5*(1-'DCF_NKE'!$B$6)+'DCF_NKE'!$B$7-'DCF_NKE'!$B$8)-'DCF_NKE'!$B$3*(1+D172)^0*D172*'DCF_NKE'!$B$9)/(1+'DCF_NKE'!$B$10)^1+('DCF_NKE'!$B$3*(1+D172)^2*('DCF_NKE'!$B$5*(1-'DCF_NKE'!$B$6)+'DCF_NKE'!$B$7-'DCF_NKE'!$B$8)-'DCF_NKE'!$B$3*(1+D172)^1*D172*'DCF_NKE'!$B$9)/(1+'DCF_NKE'!$B$10)^2+('DCF_NKE'!$B$3*(1+D172)^3*('DCF_NKE'!$B$5*(1-'DCF_NKE'!$B$6)+'DCF_NKE'!$B$7-'DCF_NKE'!$B$8)-'DCF_NKE'!$B$3*(1+D172)^2*D172*'DCF_NKE'!$B$9)/(1+'DCF_NKE'!$B$10)^3+('DCF_NKE'!$B$3*(1+D172)^4*('DCF_NKE'!$B$5*(1-'DCF_NKE'!$B$6)+'DCF_NKE'!$B$7-'DCF_NKE'!$B$8)-'DCF_NKE'!$B$3*(1+D172)^3*D172*'DCF_NKE'!$B$9)/(1+'DCF_NKE'!$B$10)^4+('DCF_NKE'!$B$3*(1+D172)^5*('DCF_NKE'!$B$5*(1-'DCF_NKE'!$B$6)+'DCF_NKE'!$B$7-'DCF_NKE'!$B$8)-'DCF_NKE'!$B$3*(1+D172)^4*D172*'DCF_NKE'!$B$9)/(1+'DCF_NKE'!$B$10)^5+('DCF_NKE'!$B$3*(1+D172)^5*(1+'DCF_NKE'!$B$11)*('DCF_NKE'!$B$5*(1-'DCF_NKE'!$B$6)+'DCF_NKE'!$B$7-'DCF_NKE'!$B$8)-'DCF_NKE'!$B$3*(1+D172)^5*'DCF_NKE'!$B$11*'DCF_NKE'!$B$9)/('DCF_NKE'!$B$10-'DCF_NKE'!$B$11)/(1+'DCF_NKE'!$B$10)^5-'DCF_NKE'!$B$13)/'DCF_NKE'!$B$12))</f>
        <v/>
      </c>
    </row>
    <row r="173" spans="1:5" x14ac:dyDescent="0.25">
      <c r="A173" s="4">
        <v>37</v>
      </c>
      <c r="B173" s="4" t="str">
        <f>IF($B$5="","",IF(E172&lt;$B$5,D172,B172))</f>
        <v/>
      </c>
      <c r="C173" s="4" t="str">
        <f>IF($B$5="","",IF(E172&lt;$B$5,C172,D172))</f>
        <v/>
      </c>
      <c r="D173" s="4" t="str">
        <f>IF($B$5="","",(B173+C173)/2)</f>
        <v/>
      </c>
      <c r="E173" s="4" t="str">
        <f>IF($B$5="","",((('DCF_NKE'!$B$3*(1+D173)^1*('DCF_NKE'!$B$5*(1-'DCF_NKE'!$B$6)+'DCF_NKE'!$B$7-'DCF_NKE'!$B$8)-'DCF_NKE'!$B$3*(1+D173)^0*D173*'DCF_NKE'!$B$9)/(1+'DCF_NKE'!$B$10)^1+('DCF_NKE'!$B$3*(1+D173)^2*('DCF_NKE'!$B$5*(1-'DCF_NKE'!$B$6)+'DCF_NKE'!$B$7-'DCF_NKE'!$B$8)-'DCF_NKE'!$B$3*(1+D173)^1*D173*'DCF_NKE'!$B$9)/(1+'DCF_NKE'!$B$10)^2+('DCF_NKE'!$B$3*(1+D173)^3*('DCF_NKE'!$B$5*(1-'DCF_NKE'!$B$6)+'DCF_NKE'!$B$7-'DCF_NKE'!$B$8)-'DCF_NKE'!$B$3*(1+D173)^2*D173*'DCF_NKE'!$B$9)/(1+'DCF_NKE'!$B$10)^3+('DCF_NKE'!$B$3*(1+D173)^4*('DCF_NKE'!$B$5*(1-'DCF_NKE'!$B$6)+'DCF_NKE'!$B$7-'DCF_NKE'!$B$8)-'DCF_NKE'!$B$3*(1+D173)^3*D173*'DCF_NKE'!$B$9)/(1+'DCF_NKE'!$B$10)^4+('DCF_NKE'!$B$3*(1+D173)^5*('DCF_NKE'!$B$5*(1-'DCF_NKE'!$B$6)+'DCF_NKE'!$B$7-'DCF_NKE'!$B$8)-'DCF_NKE'!$B$3*(1+D173)^4*D173*'DCF_NKE'!$B$9)/(1+'DCF_NKE'!$B$10)^5+('DCF_NKE'!$B$3*(1+D173)^5*(1+'DCF_NKE'!$B$11)*('DCF_NKE'!$B$5*(1-'DCF_NKE'!$B$6)+'DCF_NKE'!$B$7-'DCF_NKE'!$B$8)-'DCF_NKE'!$B$3*(1+D173)^5*'DCF_NKE'!$B$11*'DCF_NKE'!$B$9)/('DCF_NKE'!$B$10-'DCF_NKE'!$B$11)/(1+'DCF_NKE'!$B$10)^5-'DCF_NKE'!$B$13)/'DCF_NKE'!$B$12))</f>
        <v/>
      </c>
    </row>
    <row r="174" spans="1:5" x14ac:dyDescent="0.25">
      <c r="A174" s="4">
        <v>38</v>
      </c>
      <c r="B174" s="4" t="str">
        <f>IF($B$5="","",IF(E173&lt;$B$5,D173,B173))</f>
        <v/>
      </c>
      <c r="C174" s="4" t="str">
        <f>IF($B$5="","",IF(E173&lt;$B$5,C173,D173))</f>
        <v/>
      </c>
      <c r="D174" s="4" t="str">
        <f>IF($B$5="","",(B174+C174)/2)</f>
        <v/>
      </c>
      <c r="E174" s="4" t="str">
        <f>IF($B$5="","",((('DCF_NKE'!$B$3*(1+D174)^1*('DCF_NKE'!$B$5*(1-'DCF_NKE'!$B$6)+'DCF_NKE'!$B$7-'DCF_NKE'!$B$8)-'DCF_NKE'!$B$3*(1+D174)^0*D174*'DCF_NKE'!$B$9)/(1+'DCF_NKE'!$B$10)^1+('DCF_NKE'!$B$3*(1+D174)^2*('DCF_NKE'!$B$5*(1-'DCF_NKE'!$B$6)+'DCF_NKE'!$B$7-'DCF_NKE'!$B$8)-'DCF_NKE'!$B$3*(1+D174)^1*D174*'DCF_NKE'!$B$9)/(1+'DCF_NKE'!$B$10)^2+('DCF_NKE'!$B$3*(1+D174)^3*('DCF_NKE'!$B$5*(1-'DCF_NKE'!$B$6)+'DCF_NKE'!$B$7-'DCF_NKE'!$B$8)-'DCF_NKE'!$B$3*(1+D174)^2*D174*'DCF_NKE'!$B$9)/(1+'DCF_NKE'!$B$10)^3+('DCF_NKE'!$B$3*(1+D174)^4*('DCF_NKE'!$B$5*(1-'DCF_NKE'!$B$6)+'DCF_NKE'!$B$7-'DCF_NKE'!$B$8)-'DCF_NKE'!$B$3*(1+D174)^3*D174*'DCF_NKE'!$B$9)/(1+'DCF_NKE'!$B$10)^4+('DCF_NKE'!$B$3*(1+D174)^5*('DCF_NKE'!$B$5*(1-'DCF_NKE'!$B$6)+'DCF_NKE'!$B$7-'DCF_NKE'!$B$8)-'DCF_NKE'!$B$3*(1+D174)^4*D174*'DCF_NKE'!$B$9)/(1+'DCF_NKE'!$B$10)^5+('DCF_NKE'!$B$3*(1+D174)^5*(1+'DCF_NKE'!$B$11)*('DCF_NKE'!$B$5*(1-'DCF_NKE'!$B$6)+'DCF_NKE'!$B$7-'DCF_NKE'!$B$8)-'DCF_NKE'!$B$3*(1+D174)^5*'DCF_NKE'!$B$11*'DCF_NKE'!$B$9)/('DCF_NKE'!$B$10-'DCF_NKE'!$B$11)/(1+'DCF_NKE'!$B$10)^5-'DCF_NKE'!$B$13)/'DCF_NKE'!$B$12))</f>
        <v/>
      </c>
    </row>
    <row r="175" spans="1:5" x14ac:dyDescent="0.25">
      <c r="A175" s="4">
        <v>39</v>
      </c>
      <c r="B175" s="4" t="str">
        <f>IF($B$5="","",IF(E174&lt;$B$5,D174,B174))</f>
        <v/>
      </c>
      <c r="C175" s="4" t="str">
        <f>IF($B$5="","",IF(E174&lt;$B$5,C174,D174))</f>
        <v/>
      </c>
      <c r="D175" s="4" t="str">
        <f>IF($B$5="","",(B175+C175)/2)</f>
        <v/>
      </c>
      <c r="E175" s="4" t="str">
        <f>IF($B$5="","",((('DCF_NKE'!$B$3*(1+D175)^1*('DCF_NKE'!$B$5*(1-'DCF_NKE'!$B$6)+'DCF_NKE'!$B$7-'DCF_NKE'!$B$8)-'DCF_NKE'!$B$3*(1+D175)^0*D175*'DCF_NKE'!$B$9)/(1+'DCF_NKE'!$B$10)^1+('DCF_NKE'!$B$3*(1+D175)^2*('DCF_NKE'!$B$5*(1-'DCF_NKE'!$B$6)+'DCF_NKE'!$B$7-'DCF_NKE'!$B$8)-'DCF_NKE'!$B$3*(1+D175)^1*D175*'DCF_NKE'!$B$9)/(1+'DCF_NKE'!$B$10)^2+('DCF_NKE'!$B$3*(1+D175)^3*('DCF_NKE'!$B$5*(1-'DCF_NKE'!$B$6)+'DCF_NKE'!$B$7-'DCF_NKE'!$B$8)-'DCF_NKE'!$B$3*(1+D175)^2*D175*'DCF_NKE'!$B$9)/(1+'DCF_NKE'!$B$10)^3+('DCF_NKE'!$B$3*(1+D175)^4*('DCF_NKE'!$B$5*(1-'DCF_NKE'!$B$6)+'DCF_NKE'!$B$7-'DCF_NKE'!$B$8)-'DCF_NKE'!$B$3*(1+D175)^3*D175*'DCF_NKE'!$B$9)/(1+'DCF_NKE'!$B$10)^4+('DCF_NKE'!$B$3*(1+D175)^5*('DCF_NKE'!$B$5*(1-'DCF_NKE'!$B$6)+'DCF_NKE'!$B$7-'DCF_NKE'!$B$8)-'DCF_NKE'!$B$3*(1+D175)^4*D175*'DCF_NKE'!$B$9)/(1+'DCF_NKE'!$B$10)^5+('DCF_NKE'!$B$3*(1+D175)^5*(1+'DCF_NKE'!$B$11)*('DCF_NKE'!$B$5*(1-'DCF_NKE'!$B$6)+'DCF_NKE'!$B$7-'DCF_NKE'!$B$8)-'DCF_NKE'!$B$3*(1+D175)^5*'DCF_NKE'!$B$11*'DCF_NKE'!$B$9)/('DCF_NKE'!$B$10-'DCF_NKE'!$B$11)/(1+'DCF_NKE'!$B$10)^5-'DCF_NKE'!$B$13)/'DCF_NKE'!$B$12))</f>
        <v/>
      </c>
    </row>
    <row r="176" spans="1:5" x14ac:dyDescent="0.25">
      <c r="A176" s="4">
        <v>40</v>
      </c>
      <c r="B176" s="4" t="str">
        <f>IF($B$5="","",IF(E175&lt;$B$5,D175,B175))</f>
        <v/>
      </c>
      <c r="C176" s="4" t="str">
        <f>IF($B$5="","",IF(E175&lt;$B$5,C175,D175))</f>
        <v/>
      </c>
      <c r="D176" s="4" t="str">
        <f>IF($B$5="","",(B176+C176)/2)</f>
        <v/>
      </c>
      <c r="E176" s="4" t="str">
        <f>IF($B$5="","",((('DCF_NKE'!$B$3*(1+D176)^1*('DCF_NKE'!$B$5*(1-'DCF_NKE'!$B$6)+'DCF_NKE'!$B$7-'DCF_NKE'!$B$8)-'DCF_NKE'!$B$3*(1+D176)^0*D176*'DCF_NKE'!$B$9)/(1+'DCF_NKE'!$B$10)^1+('DCF_NKE'!$B$3*(1+D176)^2*('DCF_NKE'!$B$5*(1-'DCF_NKE'!$B$6)+'DCF_NKE'!$B$7-'DCF_NKE'!$B$8)-'DCF_NKE'!$B$3*(1+D176)^1*D176*'DCF_NKE'!$B$9)/(1+'DCF_NKE'!$B$10)^2+('DCF_NKE'!$B$3*(1+D176)^3*('DCF_NKE'!$B$5*(1-'DCF_NKE'!$B$6)+'DCF_NKE'!$B$7-'DCF_NKE'!$B$8)-'DCF_NKE'!$B$3*(1+D176)^2*D176*'DCF_NKE'!$B$9)/(1+'DCF_NKE'!$B$10)^3+('DCF_NKE'!$B$3*(1+D176)^4*('DCF_NKE'!$B$5*(1-'DCF_NKE'!$B$6)+'DCF_NKE'!$B$7-'DCF_NKE'!$B$8)-'DCF_NKE'!$B$3*(1+D176)^3*D176*'DCF_NKE'!$B$9)/(1+'DCF_NKE'!$B$10)^4+('DCF_NKE'!$B$3*(1+D176)^5*('DCF_NKE'!$B$5*(1-'DCF_NKE'!$B$6)+'DCF_NKE'!$B$7-'DCF_NKE'!$B$8)-'DCF_NKE'!$B$3*(1+D176)^4*D176*'DCF_NKE'!$B$9)/(1+'DCF_NKE'!$B$10)^5+('DCF_NKE'!$B$3*(1+D176)^5*(1+'DCF_NKE'!$B$11)*('DCF_NKE'!$B$5*(1-'DCF_NKE'!$B$6)+'DCF_NKE'!$B$7-'DCF_NKE'!$B$8)-'DCF_NKE'!$B$3*(1+D176)^5*'DCF_NKE'!$B$11*'DCF_NKE'!$B$9)/('DCF_NKE'!$B$10-'DCF_NKE'!$B$11)/(1+'DCF_NKE'!$B$10)^5-'DCF_NKE'!$B$13)/'DCF_NKE'!$B$12))</f>
        <v/>
      </c>
    </row>
    <row r="177" spans="1:5" x14ac:dyDescent="0.25">
      <c r="A177" s="4">
        <v>41</v>
      </c>
      <c r="B177" s="4" t="str">
        <f>IF($B$5="","",IF(E176&lt;$B$5,D176,B176))</f>
        <v/>
      </c>
      <c r="C177" s="4" t="str">
        <f>IF($B$5="","",IF(E176&lt;$B$5,C176,D176))</f>
        <v/>
      </c>
      <c r="D177" s="4" t="str">
        <f>IF($B$5="","",(B177+C177)/2)</f>
        <v/>
      </c>
      <c r="E177" s="4" t="str">
        <f>IF($B$5="","",((('DCF_NKE'!$B$3*(1+D177)^1*('DCF_NKE'!$B$5*(1-'DCF_NKE'!$B$6)+'DCF_NKE'!$B$7-'DCF_NKE'!$B$8)-'DCF_NKE'!$B$3*(1+D177)^0*D177*'DCF_NKE'!$B$9)/(1+'DCF_NKE'!$B$10)^1+('DCF_NKE'!$B$3*(1+D177)^2*('DCF_NKE'!$B$5*(1-'DCF_NKE'!$B$6)+'DCF_NKE'!$B$7-'DCF_NKE'!$B$8)-'DCF_NKE'!$B$3*(1+D177)^1*D177*'DCF_NKE'!$B$9)/(1+'DCF_NKE'!$B$10)^2+('DCF_NKE'!$B$3*(1+D177)^3*('DCF_NKE'!$B$5*(1-'DCF_NKE'!$B$6)+'DCF_NKE'!$B$7-'DCF_NKE'!$B$8)-'DCF_NKE'!$B$3*(1+D177)^2*D177*'DCF_NKE'!$B$9)/(1+'DCF_NKE'!$B$10)^3+('DCF_NKE'!$B$3*(1+D177)^4*('DCF_NKE'!$B$5*(1-'DCF_NKE'!$B$6)+'DCF_NKE'!$B$7-'DCF_NKE'!$B$8)-'DCF_NKE'!$B$3*(1+D177)^3*D177*'DCF_NKE'!$B$9)/(1+'DCF_NKE'!$B$10)^4+('DCF_NKE'!$B$3*(1+D177)^5*('DCF_NKE'!$B$5*(1-'DCF_NKE'!$B$6)+'DCF_NKE'!$B$7-'DCF_NKE'!$B$8)-'DCF_NKE'!$B$3*(1+D177)^4*D177*'DCF_NKE'!$B$9)/(1+'DCF_NKE'!$B$10)^5+('DCF_NKE'!$B$3*(1+D177)^5*(1+'DCF_NKE'!$B$11)*('DCF_NKE'!$B$5*(1-'DCF_NKE'!$B$6)+'DCF_NKE'!$B$7-'DCF_NKE'!$B$8)-'DCF_NKE'!$B$3*(1+D177)^5*'DCF_NKE'!$B$11*'DCF_NKE'!$B$9)/('DCF_NKE'!$B$10-'DCF_NKE'!$B$11)/(1+'DCF_NKE'!$B$10)^5-'DCF_NKE'!$B$13)/'DCF_NKE'!$B$12))</f>
        <v/>
      </c>
    </row>
    <row r="178" spans="1:5" x14ac:dyDescent="0.25">
      <c r="A178" s="4">
        <v>42</v>
      </c>
      <c r="B178" s="4" t="str">
        <f>IF($B$5="","",IF(E177&lt;$B$5,D177,B177))</f>
        <v/>
      </c>
      <c r="C178" s="4" t="str">
        <f>IF($B$5="","",IF(E177&lt;$B$5,C177,D177))</f>
        <v/>
      </c>
      <c r="D178" s="4" t="str">
        <f>IF($B$5="","",(B178+C178)/2)</f>
        <v/>
      </c>
      <c r="E178" s="4" t="str">
        <f>IF($B$5="","",((('DCF_NKE'!$B$3*(1+D178)^1*('DCF_NKE'!$B$5*(1-'DCF_NKE'!$B$6)+'DCF_NKE'!$B$7-'DCF_NKE'!$B$8)-'DCF_NKE'!$B$3*(1+D178)^0*D178*'DCF_NKE'!$B$9)/(1+'DCF_NKE'!$B$10)^1+('DCF_NKE'!$B$3*(1+D178)^2*('DCF_NKE'!$B$5*(1-'DCF_NKE'!$B$6)+'DCF_NKE'!$B$7-'DCF_NKE'!$B$8)-'DCF_NKE'!$B$3*(1+D178)^1*D178*'DCF_NKE'!$B$9)/(1+'DCF_NKE'!$B$10)^2+('DCF_NKE'!$B$3*(1+D178)^3*('DCF_NKE'!$B$5*(1-'DCF_NKE'!$B$6)+'DCF_NKE'!$B$7-'DCF_NKE'!$B$8)-'DCF_NKE'!$B$3*(1+D178)^2*D178*'DCF_NKE'!$B$9)/(1+'DCF_NKE'!$B$10)^3+('DCF_NKE'!$B$3*(1+D178)^4*('DCF_NKE'!$B$5*(1-'DCF_NKE'!$B$6)+'DCF_NKE'!$B$7-'DCF_NKE'!$B$8)-'DCF_NKE'!$B$3*(1+D178)^3*D178*'DCF_NKE'!$B$9)/(1+'DCF_NKE'!$B$10)^4+('DCF_NKE'!$B$3*(1+D178)^5*('DCF_NKE'!$B$5*(1-'DCF_NKE'!$B$6)+'DCF_NKE'!$B$7-'DCF_NKE'!$B$8)-'DCF_NKE'!$B$3*(1+D178)^4*D178*'DCF_NKE'!$B$9)/(1+'DCF_NKE'!$B$10)^5+('DCF_NKE'!$B$3*(1+D178)^5*(1+'DCF_NKE'!$B$11)*('DCF_NKE'!$B$5*(1-'DCF_NKE'!$B$6)+'DCF_NKE'!$B$7-'DCF_NKE'!$B$8)-'DCF_NKE'!$B$3*(1+D178)^5*'DCF_NKE'!$B$11*'DCF_NKE'!$B$9)/('DCF_NKE'!$B$10-'DCF_NKE'!$B$11)/(1+'DCF_NKE'!$B$10)^5-'DCF_NKE'!$B$13)/'DCF_NKE'!$B$12))</f>
        <v/>
      </c>
    </row>
    <row r="179" spans="1:5" x14ac:dyDescent="0.25">
      <c r="A179" s="4">
        <v>43</v>
      </c>
      <c r="B179" s="4" t="str">
        <f>IF($B$5="","",IF(E178&lt;$B$5,D178,B178))</f>
        <v/>
      </c>
      <c r="C179" s="4" t="str">
        <f>IF($B$5="","",IF(E178&lt;$B$5,C178,D178))</f>
        <v/>
      </c>
      <c r="D179" s="4" t="str">
        <f>IF($B$5="","",(B179+C179)/2)</f>
        <v/>
      </c>
      <c r="E179" s="4" t="str">
        <f>IF($B$5="","",((('DCF_NKE'!$B$3*(1+D179)^1*('DCF_NKE'!$B$5*(1-'DCF_NKE'!$B$6)+'DCF_NKE'!$B$7-'DCF_NKE'!$B$8)-'DCF_NKE'!$B$3*(1+D179)^0*D179*'DCF_NKE'!$B$9)/(1+'DCF_NKE'!$B$10)^1+('DCF_NKE'!$B$3*(1+D179)^2*('DCF_NKE'!$B$5*(1-'DCF_NKE'!$B$6)+'DCF_NKE'!$B$7-'DCF_NKE'!$B$8)-'DCF_NKE'!$B$3*(1+D179)^1*D179*'DCF_NKE'!$B$9)/(1+'DCF_NKE'!$B$10)^2+('DCF_NKE'!$B$3*(1+D179)^3*('DCF_NKE'!$B$5*(1-'DCF_NKE'!$B$6)+'DCF_NKE'!$B$7-'DCF_NKE'!$B$8)-'DCF_NKE'!$B$3*(1+D179)^2*D179*'DCF_NKE'!$B$9)/(1+'DCF_NKE'!$B$10)^3+('DCF_NKE'!$B$3*(1+D179)^4*('DCF_NKE'!$B$5*(1-'DCF_NKE'!$B$6)+'DCF_NKE'!$B$7-'DCF_NKE'!$B$8)-'DCF_NKE'!$B$3*(1+D179)^3*D179*'DCF_NKE'!$B$9)/(1+'DCF_NKE'!$B$10)^4+('DCF_NKE'!$B$3*(1+D179)^5*('DCF_NKE'!$B$5*(1-'DCF_NKE'!$B$6)+'DCF_NKE'!$B$7-'DCF_NKE'!$B$8)-'DCF_NKE'!$B$3*(1+D179)^4*D179*'DCF_NKE'!$B$9)/(1+'DCF_NKE'!$B$10)^5+('DCF_NKE'!$B$3*(1+D179)^5*(1+'DCF_NKE'!$B$11)*('DCF_NKE'!$B$5*(1-'DCF_NKE'!$B$6)+'DCF_NKE'!$B$7-'DCF_NKE'!$B$8)-'DCF_NKE'!$B$3*(1+D179)^5*'DCF_NKE'!$B$11*'DCF_NKE'!$B$9)/('DCF_NKE'!$B$10-'DCF_NKE'!$B$11)/(1+'DCF_NKE'!$B$10)^5-'DCF_NKE'!$B$13)/'DCF_NKE'!$B$12))</f>
        <v/>
      </c>
    </row>
    <row r="180" spans="1:5" x14ac:dyDescent="0.25">
      <c r="A180" s="4">
        <v>44</v>
      </c>
      <c r="B180" s="4" t="str">
        <f>IF($B$5="","",IF(E179&lt;$B$5,D179,B179))</f>
        <v/>
      </c>
      <c r="C180" s="4" t="str">
        <f>IF($B$5="","",IF(E179&lt;$B$5,C179,D179))</f>
        <v/>
      </c>
      <c r="D180" s="4" t="str">
        <f>IF($B$5="","",(B180+C180)/2)</f>
        <v/>
      </c>
      <c r="E180" s="4" t="str">
        <f>IF($B$5="","",((('DCF_NKE'!$B$3*(1+D180)^1*('DCF_NKE'!$B$5*(1-'DCF_NKE'!$B$6)+'DCF_NKE'!$B$7-'DCF_NKE'!$B$8)-'DCF_NKE'!$B$3*(1+D180)^0*D180*'DCF_NKE'!$B$9)/(1+'DCF_NKE'!$B$10)^1+('DCF_NKE'!$B$3*(1+D180)^2*('DCF_NKE'!$B$5*(1-'DCF_NKE'!$B$6)+'DCF_NKE'!$B$7-'DCF_NKE'!$B$8)-'DCF_NKE'!$B$3*(1+D180)^1*D180*'DCF_NKE'!$B$9)/(1+'DCF_NKE'!$B$10)^2+('DCF_NKE'!$B$3*(1+D180)^3*('DCF_NKE'!$B$5*(1-'DCF_NKE'!$B$6)+'DCF_NKE'!$B$7-'DCF_NKE'!$B$8)-'DCF_NKE'!$B$3*(1+D180)^2*D180*'DCF_NKE'!$B$9)/(1+'DCF_NKE'!$B$10)^3+('DCF_NKE'!$B$3*(1+D180)^4*('DCF_NKE'!$B$5*(1-'DCF_NKE'!$B$6)+'DCF_NKE'!$B$7-'DCF_NKE'!$B$8)-'DCF_NKE'!$B$3*(1+D180)^3*D180*'DCF_NKE'!$B$9)/(1+'DCF_NKE'!$B$10)^4+('DCF_NKE'!$B$3*(1+D180)^5*('DCF_NKE'!$B$5*(1-'DCF_NKE'!$B$6)+'DCF_NKE'!$B$7-'DCF_NKE'!$B$8)-'DCF_NKE'!$B$3*(1+D180)^4*D180*'DCF_NKE'!$B$9)/(1+'DCF_NKE'!$B$10)^5+('DCF_NKE'!$B$3*(1+D180)^5*(1+'DCF_NKE'!$B$11)*('DCF_NKE'!$B$5*(1-'DCF_NKE'!$B$6)+'DCF_NKE'!$B$7-'DCF_NKE'!$B$8)-'DCF_NKE'!$B$3*(1+D180)^5*'DCF_NKE'!$B$11*'DCF_NKE'!$B$9)/('DCF_NKE'!$B$10-'DCF_NKE'!$B$11)/(1+'DCF_NKE'!$B$10)^5-'DCF_NKE'!$B$13)/'DCF_NKE'!$B$12))</f>
        <v/>
      </c>
    </row>
    <row r="181" spans="1:5" x14ac:dyDescent="0.25">
      <c r="A181" s="4">
        <v>45</v>
      </c>
      <c r="B181" s="4" t="str">
        <f>IF($B$5="","",IF(E180&lt;$B$5,D180,B180))</f>
        <v/>
      </c>
      <c r="C181" s="4" t="str">
        <f>IF($B$5="","",IF(E180&lt;$B$5,C180,D180))</f>
        <v/>
      </c>
      <c r="D181" s="4" t="str">
        <f>IF($B$5="","",(B181+C181)/2)</f>
        <v/>
      </c>
      <c r="E181" s="4" t="str">
        <f>IF($B$5="","",((('DCF_NKE'!$B$3*(1+D181)^1*('DCF_NKE'!$B$5*(1-'DCF_NKE'!$B$6)+'DCF_NKE'!$B$7-'DCF_NKE'!$B$8)-'DCF_NKE'!$B$3*(1+D181)^0*D181*'DCF_NKE'!$B$9)/(1+'DCF_NKE'!$B$10)^1+('DCF_NKE'!$B$3*(1+D181)^2*('DCF_NKE'!$B$5*(1-'DCF_NKE'!$B$6)+'DCF_NKE'!$B$7-'DCF_NKE'!$B$8)-'DCF_NKE'!$B$3*(1+D181)^1*D181*'DCF_NKE'!$B$9)/(1+'DCF_NKE'!$B$10)^2+('DCF_NKE'!$B$3*(1+D181)^3*('DCF_NKE'!$B$5*(1-'DCF_NKE'!$B$6)+'DCF_NKE'!$B$7-'DCF_NKE'!$B$8)-'DCF_NKE'!$B$3*(1+D181)^2*D181*'DCF_NKE'!$B$9)/(1+'DCF_NKE'!$B$10)^3+('DCF_NKE'!$B$3*(1+D181)^4*('DCF_NKE'!$B$5*(1-'DCF_NKE'!$B$6)+'DCF_NKE'!$B$7-'DCF_NKE'!$B$8)-'DCF_NKE'!$B$3*(1+D181)^3*D181*'DCF_NKE'!$B$9)/(1+'DCF_NKE'!$B$10)^4+('DCF_NKE'!$B$3*(1+D181)^5*('DCF_NKE'!$B$5*(1-'DCF_NKE'!$B$6)+'DCF_NKE'!$B$7-'DCF_NKE'!$B$8)-'DCF_NKE'!$B$3*(1+D181)^4*D181*'DCF_NKE'!$B$9)/(1+'DCF_NKE'!$B$10)^5+('DCF_NKE'!$B$3*(1+D181)^5*(1+'DCF_NKE'!$B$11)*('DCF_NKE'!$B$5*(1-'DCF_NKE'!$B$6)+'DCF_NKE'!$B$7-'DCF_NKE'!$B$8)-'DCF_NKE'!$B$3*(1+D181)^5*'DCF_NKE'!$B$11*'DCF_NKE'!$B$9)/('DCF_NKE'!$B$10-'DCF_NKE'!$B$11)/(1+'DCF_NKE'!$B$10)^5-'DCF_NKE'!$B$13)/'DCF_NKE'!$B$12))</f>
        <v/>
      </c>
    </row>
    <row r="182" spans="1:5" x14ac:dyDescent="0.25">
      <c r="A182" s="4">
        <v>46</v>
      </c>
      <c r="B182" s="4" t="str">
        <f>IF($B$5="","",IF(E181&lt;$B$5,D181,B181))</f>
        <v/>
      </c>
      <c r="C182" s="4" t="str">
        <f>IF($B$5="","",IF(E181&lt;$B$5,C181,D181))</f>
        <v/>
      </c>
      <c r="D182" s="4" t="str">
        <f>IF($B$5="","",(B182+C182)/2)</f>
        <v/>
      </c>
      <c r="E182" s="4" t="str">
        <f>IF($B$5="","",((('DCF_NKE'!$B$3*(1+D182)^1*('DCF_NKE'!$B$5*(1-'DCF_NKE'!$B$6)+'DCF_NKE'!$B$7-'DCF_NKE'!$B$8)-'DCF_NKE'!$B$3*(1+D182)^0*D182*'DCF_NKE'!$B$9)/(1+'DCF_NKE'!$B$10)^1+('DCF_NKE'!$B$3*(1+D182)^2*('DCF_NKE'!$B$5*(1-'DCF_NKE'!$B$6)+'DCF_NKE'!$B$7-'DCF_NKE'!$B$8)-'DCF_NKE'!$B$3*(1+D182)^1*D182*'DCF_NKE'!$B$9)/(1+'DCF_NKE'!$B$10)^2+('DCF_NKE'!$B$3*(1+D182)^3*('DCF_NKE'!$B$5*(1-'DCF_NKE'!$B$6)+'DCF_NKE'!$B$7-'DCF_NKE'!$B$8)-'DCF_NKE'!$B$3*(1+D182)^2*D182*'DCF_NKE'!$B$9)/(1+'DCF_NKE'!$B$10)^3+('DCF_NKE'!$B$3*(1+D182)^4*('DCF_NKE'!$B$5*(1-'DCF_NKE'!$B$6)+'DCF_NKE'!$B$7-'DCF_NKE'!$B$8)-'DCF_NKE'!$B$3*(1+D182)^3*D182*'DCF_NKE'!$B$9)/(1+'DCF_NKE'!$B$10)^4+('DCF_NKE'!$B$3*(1+D182)^5*('DCF_NKE'!$B$5*(1-'DCF_NKE'!$B$6)+'DCF_NKE'!$B$7-'DCF_NKE'!$B$8)-'DCF_NKE'!$B$3*(1+D182)^4*D182*'DCF_NKE'!$B$9)/(1+'DCF_NKE'!$B$10)^5+('DCF_NKE'!$B$3*(1+D182)^5*(1+'DCF_NKE'!$B$11)*('DCF_NKE'!$B$5*(1-'DCF_NKE'!$B$6)+'DCF_NKE'!$B$7-'DCF_NKE'!$B$8)-'DCF_NKE'!$B$3*(1+D182)^5*'DCF_NKE'!$B$11*'DCF_NKE'!$B$9)/('DCF_NKE'!$B$10-'DCF_NKE'!$B$11)/(1+'DCF_NKE'!$B$10)^5-'DCF_NKE'!$B$13)/'DCF_NKE'!$B$12))</f>
        <v/>
      </c>
    </row>
    <row r="183" spans="1:5" x14ac:dyDescent="0.25">
      <c r="A183" s="4">
        <v>47</v>
      </c>
      <c r="B183" s="4" t="str">
        <f>IF($B$5="","",IF(E182&lt;$B$5,D182,B182))</f>
        <v/>
      </c>
      <c r="C183" s="4" t="str">
        <f>IF($B$5="","",IF(E182&lt;$B$5,C182,D182))</f>
        <v/>
      </c>
      <c r="D183" s="4" t="str">
        <f>IF($B$5="","",(B183+C183)/2)</f>
        <v/>
      </c>
      <c r="E183" s="4" t="str">
        <f>IF($B$5="","",((('DCF_NKE'!$B$3*(1+D183)^1*('DCF_NKE'!$B$5*(1-'DCF_NKE'!$B$6)+'DCF_NKE'!$B$7-'DCF_NKE'!$B$8)-'DCF_NKE'!$B$3*(1+D183)^0*D183*'DCF_NKE'!$B$9)/(1+'DCF_NKE'!$B$10)^1+('DCF_NKE'!$B$3*(1+D183)^2*('DCF_NKE'!$B$5*(1-'DCF_NKE'!$B$6)+'DCF_NKE'!$B$7-'DCF_NKE'!$B$8)-'DCF_NKE'!$B$3*(1+D183)^1*D183*'DCF_NKE'!$B$9)/(1+'DCF_NKE'!$B$10)^2+('DCF_NKE'!$B$3*(1+D183)^3*('DCF_NKE'!$B$5*(1-'DCF_NKE'!$B$6)+'DCF_NKE'!$B$7-'DCF_NKE'!$B$8)-'DCF_NKE'!$B$3*(1+D183)^2*D183*'DCF_NKE'!$B$9)/(1+'DCF_NKE'!$B$10)^3+('DCF_NKE'!$B$3*(1+D183)^4*('DCF_NKE'!$B$5*(1-'DCF_NKE'!$B$6)+'DCF_NKE'!$B$7-'DCF_NKE'!$B$8)-'DCF_NKE'!$B$3*(1+D183)^3*D183*'DCF_NKE'!$B$9)/(1+'DCF_NKE'!$B$10)^4+('DCF_NKE'!$B$3*(1+D183)^5*('DCF_NKE'!$B$5*(1-'DCF_NKE'!$B$6)+'DCF_NKE'!$B$7-'DCF_NKE'!$B$8)-'DCF_NKE'!$B$3*(1+D183)^4*D183*'DCF_NKE'!$B$9)/(1+'DCF_NKE'!$B$10)^5+('DCF_NKE'!$B$3*(1+D183)^5*(1+'DCF_NKE'!$B$11)*('DCF_NKE'!$B$5*(1-'DCF_NKE'!$B$6)+'DCF_NKE'!$B$7-'DCF_NKE'!$B$8)-'DCF_NKE'!$B$3*(1+D183)^5*'DCF_NKE'!$B$11*'DCF_NKE'!$B$9)/('DCF_NKE'!$B$10-'DCF_NKE'!$B$11)/(1+'DCF_NKE'!$B$10)^5-'DCF_NKE'!$B$13)/'DCF_NKE'!$B$12))</f>
        <v/>
      </c>
    </row>
    <row r="184" spans="1:5" x14ac:dyDescent="0.25">
      <c r="A184" s="4">
        <v>48</v>
      </c>
      <c r="B184" s="4" t="str">
        <f>IF($B$5="","",IF(E183&lt;$B$5,D183,B183))</f>
        <v/>
      </c>
      <c r="C184" s="4" t="str">
        <f>IF($B$5="","",IF(E183&lt;$B$5,C183,D183))</f>
        <v/>
      </c>
      <c r="D184" s="4" t="str">
        <f>IF($B$5="","",(B184+C184)/2)</f>
        <v/>
      </c>
      <c r="E184" s="4" t="str">
        <f>IF($B$5="","",((('DCF_NKE'!$B$3*(1+D184)^1*('DCF_NKE'!$B$5*(1-'DCF_NKE'!$B$6)+'DCF_NKE'!$B$7-'DCF_NKE'!$B$8)-'DCF_NKE'!$B$3*(1+D184)^0*D184*'DCF_NKE'!$B$9)/(1+'DCF_NKE'!$B$10)^1+('DCF_NKE'!$B$3*(1+D184)^2*('DCF_NKE'!$B$5*(1-'DCF_NKE'!$B$6)+'DCF_NKE'!$B$7-'DCF_NKE'!$B$8)-'DCF_NKE'!$B$3*(1+D184)^1*D184*'DCF_NKE'!$B$9)/(1+'DCF_NKE'!$B$10)^2+('DCF_NKE'!$B$3*(1+D184)^3*('DCF_NKE'!$B$5*(1-'DCF_NKE'!$B$6)+'DCF_NKE'!$B$7-'DCF_NKE'!$B$8)-'DCF_NKE'!$B$3*(1+D184)^2*D184*'DCF_NKE'!$B$9)/(1+'DCF_NKE'!$B$10)^3+('DCF_NKE'!$B$3*(1+D184)^4*('DCF_NKE'!$B$5*(1-'DCF_NKE'!$B$6)+'DCF_NKE'!$B$7-'DCF_NKE'!$B$8)-'DCF_NKE'!$B$3*(1+D184)^3*D184*'DCF_NKE'!$B$9)/(1+'DCF_NKE'!$B$10)^4+('DCF_NKE'!$B$3*(1+D184)^5*('DCF_NKE'!$B$5*(1-'DCF_NKE'!$B$6)+'DCF_NKE'!$B$7-'DCF_NKE'!$B$8)-'DCF_NKE'!$B$3*(1+D184)^4*D184*'DCF_NKE'!$B$9)/(1+'DCF_NKE'!$B$10)^5+('DCF_NKE'!$B$3*(1+D184)^5*(1+'DCF_NKE'!$B$11)*('DCF_NKE'!$B$5*(1-'DCF_NKE'!$B$6)+'DCF_NKE'!$B$7-'DCF_NKE'!$B$8)-'DCF_NKE'!$B$3*(1+D184)^5*'DCF_NKE'!$B$11*'DCF_NKE'!$B$9)/('DCF_NKE'!$B$10-'DCF_NKE'!$B$11)/(1+'DCF_NKE'!$B$10)^5-'DCF_NKE'!$B$13)/'DCF_NKE'!$B$12))</f>
        <v/>
      </c>
    </row>
    <row r="185" spans="1:5" x14ac:dyDescent="0.25">
      <c r="A185" s="4">
        <v>49</v>
      </c>
      <c r="B185" s="4" t="str">
        <f>IF($B$5="","",IF(E184&lt;$B$5,D184,B184))</f>
        <v/>
      </c>
      <c r="C185" s="4" t="str">
        <f>IF($B$5="","",IF(E184&lt;$B$5,C184,D184))</f>
        <v/>
      </c>
      <c r="D185" s="4" t="str">
        <f>IF($B$5="","",(B185+C185)/2)</f>
        <v/>
      </c>
      <c r="E185" s="4" t="str">
        <f>IF($B$5="","",((('DCF_NKE'!$B$3*(1+D185)^1*('DCF_NKE'!$B$5*(1-'DCF_NKE'!$B$6)+'DCF_NKE'!$B$7-'DCF_NKE'!$B$8)-'DCF_NKE'!$B$3*(1+D185)^0*D185*'DCF_NKE'!$B$9)/(1+'DCF_NKE'!$B$10)^1+('DCF_NKE'!$B$3*(1+D185)^2*('DCF_NKE'!$B$5*(1-'DCF_NKE'!$B$6)+'DCF_NKE'!$B$7-'DCF_NKE'!$B$8)-'DCF_NKE'!$B$3*(1+D185)^1*D185*'DCF_NKE'!$B$9)/(1+'DCF_NKE'!$B$10)^2+('DCF_NKE'!$B$3*(1+D185)^3*('DCF_NKE'!$B$5*(1-'DCF_NKE'!$B$6)+'DCF_NKE'!$B$7-'DCF_NKE'!$B$8)-'DCF_NKE'!$B$3*(1+D185)^2*D185*'DCF_NKE'!$B$9)/(1+'DCF_NKE'!$B$10)^3+('DCF_NKE'!$B$3*(1+D185)^4*('DCF_NKE'!$B$5*(1-'DCF_NKE'!$B$6)+'DCF_NKE'!$B$7-'DCF_NKE'!$B$8)-'DCF_NKE'!$B$3*(1+D185)^3*D185*'DCF_NKE'!$B$9)/(1+'DCF_NKE'!$B$10)^4+('DCF_NKE'!$B$3*(1+D185)^5*('DCF_NKE'!$B$5*(1-'DCF_NKE'!$B$6)+'DCF_NKE'!$B$7-'DCF_NKE'!$B$8)-'DCF_NKE'!$B$3*(1+D185)^4*D185*'DCF_NKE'!$B$9)/(1+'DCF_NKE'!$B$10)^5+('DCF_NKE'!$B$3*(1+D185)^5*(1+'DCF_NKE'!$B$11)*('DCF_NKE'!$B$5*(1-'DCF_NKE'!$B$6)+'DCF_NKE'!$B$7-'DCF_NKE'!$B$8)-'DCF_NKE'!$B$3*(1+D185)^5*'DCF_NKE'!$B$11*'DCF_NKE'!$B$9)/('DCF_NKE'!$B$10-'DCF_NKE'!$B$11)/(1+'DCF_NKE'!$B$10)^5-'DCF_NKE'!$B$13)/'DCF_NKE'!$B$12))</f>
        <v/>
      </c>
    </row>
    <row r="186" spans="1:5" x14ac:dyDescent="0.25">
      <c r="A186" s="4">
        <v>50</v>
      </c>
      <c r="B186" s="4" t="str">
        <f>IF($B$5="","",IF(E185&lt;$B$5,D185,B185))</f>
        <v/>
      </c>
      <c r="C186" s="4" t="str">
        <f>IF($B$5="","",IF(E185&lt;$B$5,C185,D185))</f>
        <v/>
      </c>
      <c r="D186" s="4" t="str">
        <f>IF($B$5="","",(B186+C186)/2)</f>
        <v/>
      </c>
      <c r="E186" s="4" t="str">
        <f>IF($B$5="","",((('DCF_NKE'!$B$3*(1+D186)^1*('DCF_NKE'!$B$5*(1-'DCF_NKE'!$B$6)+'DCF_NKE'!$B$7-'DCF_NKE'!$B$8)-'DCF_NKE'!$B$3*(1+D186)^0*D186*'DCF_NKE'!$B$9)/(1+'DCF_NKE'!$B$10)^1+('DCF_NKE'!$B$3*(1+D186)^2*('DCF_NKE'!$B$5*(1-'DCF_NKE'!$B$6)+'DCF_NKE'!$B$7-'DCF_NKE'!$B$8)-'DCF_NKE'!$B$3*(1+D186)^1*D186*'DCF_NKE'!$B$9)/(1+'DCF_NKE'!$B$10)^2+('DCF_NKE'!$B$3*(1+D186)^3*('DCF_NKE'!$B$5*(1-'DCF_NKE'!$B$6)+'DCF_NKE'!$B$7-'DCF_NKE'!$B$8)-'DCF_NKE'!$B$3*(1+D186)^2*D186*'DCF_NKE'!$B$9)/(1+'DCF_NKE'!$B$10)^3+('DCF_NKE'!$B$3*(1+D186)^4*('DCF_NKE'!$B$5*(1-'DCF_NKE'!$B$6)+'DCF_NKE'!$B$7-'DCF_NKE'!$B$8)-'DCF_NKE'!$B$3*(1+D186)^3*D186*'DCF_NKE'!$B$9)/(1+'DCF_NKE'!$B$10)^4+('DCF_NKE'!$B$3*(1+D186)^5*('DCF_NKE'!$B$5*(1-'DCF_NKE'!$B$6)+'DCF_NKE'!$B$7-'DCF_NKE'!$B$8)-'DCF_NKE'!$B$3*(1+D186)^4*D186*'DCF_NKE'!$B$9)/(1+'DCF_NKE'!$B$10)^5+('DCF_NKE'!$B$3*(1+D186)^5*(1+'DCF_NKE'!$B$11)*('DCF_NKE'!$B$5*(1-'DCF_NKE'!$B$6)+'DCF_NKE'!$B$7-'DCF_NKE'!$B$8)-'DCF_NKE'!$B$3*(1+D186)^5*'DCF_NKE'!$B$11*'DCF_NKE'!$B$9)/('DCF_NKE'!$B$10-'DCF_NKE'!$B$11)/(1+'DCF_NKE'!$B$10)^5-'DCF_NKE'!$B$13)/'DCF_NKE'!$B$12))</f>
        <v/>
      </c>
    </row>
    <row r="187" spans="1:5" x14ac:dyDescent="0.25">
      <c r="A187" s="4">
        <v>51</v>
      </c>
      <c r="B187" s="4" t="str">
        <f>IF($B$5="","",IF(E186&lt;$B$5,D186,B186))</f>
        <v/>
      </c>
      <c r="C187" s="4" t="str">
        <f>IF($B$5="","",IF(E186&lt;$B$5,C186,D186))</f>
        <v/>
      </c>
      <c r="D187" s="4" t="str">
        <f>IF($B$5="","",(B187+C187)/2)</f>
        <v/>
      </c>
      <c r="E187" s="4" t="str">
        <f>IF($B$5="","",((('DCF_NKE'!$B$3*(1+D187)^1*('DCF_NKE'!$B$5*(1-'DCF_NKE'!$B$6)+'DCF_NKE'!$B$7-'DCF_NKE'!$B$8)-'DCF_NKE'!$B$3*(1+D187)^0*D187*'DCF_NKE'!$B$9)/(1+'DCF_NKE'!$B$10)^1+('DCF_NKE'!$B$3*(1+D187)^2*('DCF_NKE'!$B$5*(1-'DCF_NKE'!$B$6)+'DCF_NKE'!$B$7-'DCF_NKE'!$B$8)-'DCF_NKE'!$B$3*(1+D187)^1*D187*'DCF_NKE'!$B$9)/(1+'DCF_NKE'!$B$10)^2+('DCF_NKE'!$B$3*(1+D187)^3*('DCF_NKE'!$B$5*(1-'DCF_NKE'!$B$6)+'DCF_NKE'!$B$7-'DCF_NKE'!$B$8)-'DCF_NKE'!$B$3*(1+D187)^2*D187*'DCF_NKE'!$B$9)/(1+'DCF_NKE'!$B$10)^3+('DCF_NKE'!$B$3*(1+D187)^4*('DCF_NKE'!$B$5*(1-'DCF_NKE'!$B$6)+'DCF_NKE'!$B$7-'DCF_NKE'!$B$8)-'DCF_NKE'!$B$3*(1+D187)^3*D187*'DCF_NKE'!$B$9)/(1+'DCF_NKE'!$B$10)^4+('DCF_NKE'!$B$3*(1+D187)^5*('DCF_NKE'!$B$5*(1-'DCF_NKE'!$B$6)+'DCF_NKE'!$B$7-'DCF_NKE'!$B$8)-'DCF_NKE'!$B$3*(1+D187)^4*D187*'DCF_NKE'!$B$9)/(1+'DCF_NKE'!$B$10)^5+('DCF_NKE'!$B$3*(1+D187)^5*(1+'DCF_NKE'!$B$11)*('DCF_NKE'!$B$5*(1-'DCF_NKE'!$B$6)+'DCF_NKE'!$B$7-'DCF_NKE'!$B$8)-'DCF_NKE'!$B$3*(1+D187)^5*'DCF_NKE'!$B$11*'DCF_NKE'!$B$9)/('DCF_NKE'!$B$10-'DCF_NKE'!$B$11)/(1+'DCF_NKE'!$B$10)^5-'DCF_NKE'!$B$13)/'DCF_NKE'!$B$12))</f>
        <v/>
      </c>
    </row>
    <row r="188" spans="1:5" x14ac:dyDescent="0.25">
      <c r="A188" s="4">
        <v>52</v>
      </c>
      <c r="B188" s="4" t="str">
        <f>IF($B$5="","",IF(E187&lt;$B$5,D187,B187))</f>
        <v/>
      </c>
      <c r="C188" s="4" t="str">
        <f>IF($B$5="","",IF(E187&lt;$B$5,C187,D187))</f>
        <v/>
      </c>
      <c r="D188" s="4" t="str">
        <f>IF($B$5="","",(B188+C188)/2)</f>
        <v/>
      </c>
      <c r="E188" s="4" t="str">
        <f>IF($B$5="","",((('DCF_NKE'!$B$3*(1+D188)^1*('DCF_NKE'!$B$5*(1-'DCF_NKE'!$B$6)+'DCF_NKE'!$B$7-'DCF_NKE'!$B$8)-'DCF_NKE'!$B$3*(1+D188)^0*D188*'DCF_NKE'!$B$9)/(1+'DCF_NKE'!$B$10)^1+('DCF_NKE'!$B$3*(1+D188)^2*('DCF_NKE'!$B$5*(1-'DCF_NKE'!$B$6)+'DCF_NKE'!$B$7-'DCF_NKE'!$B$8)-'DCF_NKE'!$B$3*(1+D188)^1*D188*'DCF_NKE'!$B$9)/(1+'DCF_NKE'!$B$10)^2+('DCF_NKE'!$B$3*(1+D188)^3*('DCF_NKE'!$B$5*(1-'DCF_NKE'!$B$6)+'DCF_NKE'!$B$7-'DCF_NKE'!$B$8)-'DCF_NKE'!$B$3*(1+D188)^2*D188*'DCF_NKE'!$B$9)/(1+'DCF_NKE'!$B$10)^3+('DCF_NKE'!$B$3*(1+D188)^4*('DCF_NKE'!$B$5*(1-'DCF_NKE'!$B$6)+'DCF_NKE'!$B$7-'DCF_NKE'!$B$8)-'DCF_NKE'!$B$3*(1+D188)^3*D188*'DCF_NKE'!$B$9)/(1+'DCF_NKE'!$B$10)^4+('DCF_NKE'!$B$3*(1+D188)^5*('DCF_NKE'!$B$5*(1-'DCF_NKE'!$B$6)+'DCF_NKE'!$B$7-'DCF_NKE'!$B$8)-'DCF_NKE'!$B$3*(1+D188)^4*D188*'DCF_NKE'!$B$9)/(1+'DCF_NKE'!$B$10)^5+('DCF_NKE'!$B$3*(1+D188)^5*(1+'DCF_NKE'!$B$11)*('DCF_NKE'!$B$5*(1-'DCF_NKE'!$B$6)+'DCF_NKE'!$B$7-'DCF_NKE'!$B$8)-'DCF_NKE'!$B$3*(1+D188)^5*'DCF_NKE'!$B$11*'DCF_NKE'!$B$9)/('DCF_NKE'!$B$10-'DCF_NKE'!$B$11)/(1+'DCF_NKE'!$B$10)^5-'DCF_NKE'!$B$13)/'DCF_NKE'!$B$12))</f>
        <v/>
      </c>
    </row>
    <row r="189" spans="1:5" x14ac:dyDescent="0.25">
      <c r="A189" s="4">
        <v>53</v>
      </c>
      <c r="B189" s="4" t="str">
        <f>IF($B$5="","",IF(E188&lt;$B$5,D188,B188))</f>
        <v/>
      </c>
      <c r="C189" s="4" t="str">
        <f>IF($B$5="","",IF(E188&lt;$B$5,C188,D188))</f>
        <v/>
      </c>
      <c r="D189" s="4" t="str">
        <f>IF($B$5="","",(B189+C189)/2)</f>
        <v/>
      </c>
      <c r="E189" s="4" t="str">
        <f>IF($B$5="","",((('DCF_NKE'!$B$3*(1+D189)^1*('DCF_NKE'!$B$5*(1-'DCF_NKE'!$B$6)+'DCF_NKE'!$B$7-'DCF_NKE'!$B$8)-'DCF_NKE'!$B$3*(1+D189)^0*D189*'DCF_NKE'!$B$9)/(1+'DCF_NKE'!$B$10)^1+('DCF_NKE'!$B$3*(1+D189)^2*('DCF_NKE'!$B$5*(1-'DCF_NKE'!$B$6)+'DCF_NKE'!$B$7-'DCF_NKE'!$B$8)-'DCF_NKE'!$B$3*(1+D189)^1*D189*'DCF_NKE'!$B$9)/(1+'DCF_NKE'!$B$10)^2+('DCF_NKE'!$B$3*(1+D189)^3*('DCF_NKE'!$B$5*(1-'DCF_NKE'!$B$6)+'DCF_NKE'!$B$7-'DCF_NKE'!$B$8)-'DCF_NKE'!$B$3*(1+D189)^2*D189*'DCF_NKE'!$B$9)/(1+'DCF_NKE'!$B$10)^3+('DCF_NKE'!$B$3*(1+D189)^4*('DCF_NKE'!$B$5*(1-'DCF_NKE'!$B$6)+'DCF_NKE'!$B$7-'DCF_NKE'!$B$8)-'DCF_NKE'!$B$3*(1+D189)^3*D189*'DCF_NKE'!$B$9)/(1+'DCF_NKE'!$B$10)^4+('DCF_NKE'!$B$3*(1+D189)^5*('DCF_NKE'!$B$5*(1-'DCF_NKE'!$B$6)+'DCF_NKE'!$B$7-'DCF_NKE'!$B$8)-'DCF_NKE'!$B$3*(1+D189)^4*D189*'DCF_NKE'!$B$9)/(1+'DCF_NKE'!$B$10)^5+('DCF_NKE'!$B$3*(1+D189)^5*(1+'DCF_NKE'!$B$11)*('DCF_NKE'!$B$5*(1-'DCF_NKE'!$B$6)+'DCF_NKE'!$B$7-'DCF_NKE'!$B$8)-'DCF_NKE'!$B$3*(1+D189)^5*'DCF_NKE'!$B$11*'DCF_NKE'!$B$9)/('DCF_NKE'!$B$10-'DCF_NKE'!$B$11)/(1+'DCF_NKE'!$B$10)^5-'DCF_NKE'!$B$13)/'DCF_NKE'!$B$12))</f>
        <v/>
      </c>
    </row>
    <row r="190" spans="1:5" x14ac:dyDescent="0.25">
      <c r="A190" s="4">
        <v>54</v>
      </c>
      <c r="B190" s="4" t="str">
        <f>IF($B$5="","",IF(E189&lt;$B$5,D189,B189))</f>
        <v/>
      </c>
      <c r="C190" s="4" t="str">
        <f>IF($B$5="","",IF(E189&lt;$B$5,C189,D189))</f>
        <v/>
      </c>
      <c r="D190" s="4" t="str">
        <f>IF($B$5="","",(B190+C190)/2)</f>
        <v/>
      </c>
      <c r="E190" s="4" t="str">
        <f>IF($B$5="","",((('DCF_NKE'!$B$3*(1+D190)^1*('DCF_NKE'!$B$5*(1-'DCF_NKE'!$B$6)+'DCF_NKE'!$B$7-'DCF_NKE'!$B$8)-'DCF_NKE'!$B$3*(1+D190)^0*D190*'DCF_NKE'!$B$9)/(1+'DCF_NKE'!$B$10)^1+('DCF_NKE'!$B$3*(1+D190)^2*('DCF_NKE'!$B$5*(1-'DCF_NKE'!$B$6)+'DCF_NKE'!$B$7-'DCF_NKE'!$B$8)-'DCF_NKE'!$B$3*(1+D190)^1*D190*'DCF_NKE'!$B$9)/(1+'DCF_NKE'!$B$10)^2+('DCF_NKE'!$B$3*(1+D190)^3*('DCF_NKE'!$B$5*(1-'DCF_NKE'!$B$6)+'DCF_NKE'!$B$7-'DCF_NKE'!$B$8)-'DCF_NKE'!$B$3*(1+D190)^2*D190*'DCF_NKE'!$B$9)/(1+'DCF_NKE'!$B$10)^3+('DCF_NKE'!$B$3*(1+D190)^4*('DCF_NKE'!$B$5*(1-'DCF_NKE'!$B$6)+'DCF_NKE'!$B$7-'DCF_NKE'!$B$8)-'DCF_NKE'!$B$3*(1+D190)^3*D190*'DCF_NKE'!$B$9)/(1+'DCF_NKE'!$B$10)^4+('DCF_NKE'!$B$3*(1+D190)^5*('DCF_NKE'!$B$5*(1-'DCF_NKE'!$B$6)+'DCF_NKE'!$B$7-'DCF_NKE'!$B$8)-'DCF_NKE'!$B$3*(1+D190)^4*D190*'DCF_NKE'!$B$9)/(1+'DCF_NKE'!$B$10)^5+('DCF_NKE'!$B$3*(1+D190)^5*(1+'DCF_NKE'!$B$11)*('DCF_NKE'!$B$5*(1-'DCF_NKE'!$B$6)+'DCF_NKE'!$B$7-'DCF_NKE'!$B$8)-'DCF_NKE'!$B$3*(1+D190)^5*'DCF_NKE'!$B$11*'DCF_NKE'!$B$9)/('DCF_NKE'!$B$10-'DCF_NKE'!$B$11)/(1+'DCF_NKE'!$B$10)^5-'DCF_NKE'!$B$13)/'DCF_NKE'!$B$12))</f>
        <v/>
      </c>
    </row>
    <row r="191" spans="1:5" x14ac:dyDescent="0.25">
      <c r="A191" s="4">
        <v>55</v>
      </c>
      <c r="B191" s="4" t="str">
        <f>IF($B$5="","",IF(E190&lt;$B$5,D190,B190))</f>
        <v/>
      </c>
      <c r="C191" s="4" t="str">
        <f>IF($B$5="","",IF(E190&lt;$B$5,C190,D190))</f>
        <v/>
      </c>
      <c r="D191" s="4" t="str">
        <f>IF($B$5="","",(B191+C191)/2)</f>
        <v/>
      </c>
      <c r="E191" s="4" t="str">
        <f>IF($B$5="","",((('DCF_NKE'!$B$3*(1+D191)^1*('DCF_NKE'!$B$5*(1-'DCF_NKE'!$B$6)+'DCF_NKE'!$B$7-'DCF_NKE'!$B$8)-'DCF_NKE'!$B$3*(1+D191)^0*D191*'DCF_NKE'!$B$9)/(1+'DCF_NKE'!$B$10)^1+('DCF_NKE'!$B$3*(1+D191)^2*('DCF_NKE'!$B$5*(1-'DCF_NKE'!$B$6)+'DCF_NKE'!$B$7-'DCF_NKE'!$B$8)-'DCF_NKE'!$B$3*(1+D191)^1*D191*'DCF_NKE'!$B$9)/(1+'DCF_NKE'!$B$10)^2+('DCF_NKE'!$B$3*(1+D191)^3*('DCF_NKE'!$B$5*(1-'DCF_NKE'!$B$6)+'DCF_NKE'!$B$7-'DCF_NKE'!$B$8)-'DCF_NKE'!$B$3*(1+D191)^2*D191*'DCF_NKE'!$B$9)/(1+'DCF_NKE'!$B$10)^3+('DCF_NKE'!$B$3*(1+D191)^4*('DCF_NKE'!$B$5*(1-'DCF_NKE'!$B$6)+'DCF_NKE'!$B$7-'DCF_NKE'!$B$8)-'DCF_NKE'!$B$3*(1+D191)^3*D191*'DCF_NKE'!$B$9)/(1+'DCF_NKE'!$B$10)^4+('DCF_NKE'!$B$3*(1+D191)^5*('DCF_NKE'!$B$5*(1-'DCF_NKE'!$B$6)+'DCF_NKE'!$B$7-'DCF_NKE'!$B$8)-'DCF_NKE'!$B$3*(1+D191)^4*D191*'DCF_NKE'!$B$9)/(1+'DCF_NKE'!$B$10)^5+('DCF_NKE'!$B$3*(1+D191)^5*(1+'DCF_NKE'!$B$11)*('DCF_NKE'!$B$5*(1-'DCF_NKE'!$B$6)+'DCF_NKE'!$B$7-'DCF_NKE'!$B$8)-'DCF_NKE'!$B$3*(1+D191)^5*'DCF_NKE'!$B$11*'DCF_NKE'!$B$9)/('DCF_NKE'!$B$10-'DCF_NKE'!$B$11)/(1+'DCF_NKE'!$B$10)^5-'DCF_NKE'!$B$13)/'DCF_NKE'!$B$12))</f>
        <v/>
      </c>
    </row>
    <row r="192" spans="1:5" x14ac:dyDescent="0.25">
      <c r="A192" s="4">
        <v>56</v>
      </c>
      <c r="B192" s="4" t="str">
        <f>IF($B$5="","",IF(E191&lt;$B$5,D191,B191))</f>
        <v/>
      </c>
      <c r="C192" s="4" t="str">
        <f>IF($B$5="","",IF(E191&lt;$B$5,C191,D191))</f>
        <v/>
      </c>
      <c r="D192" s="4" t="str">
        <f>IF($B$5="","",(B192+C192)/2)</f>
        <v/>
      </c>
      <c r="E192" s="4" t="str">
        <f>IF($B$5="","",((('DCF_NKE'!$B$3*(1+D192)^1*('DCF_NKE'!$B$5*(1-'DCF_NKE'!$B$6)+'DCF_NKE'!$B$7-'DCF_NKE'!$B$8)-'DCF_NKE'!$B$3*(1+D192)^0*D192*'DCF_NKE'!$B$9)/(1+'DCF_NKE'!$B$10)^1+('DCF_NKE'!$B$3*(1+D192)^2*('DCF_NKE'!$B$5*(1-'DCF_NKE'!$B$6)+'DCF_NKE'!$B$7-'DCF_NKE'!$B$8)-'DCF_NKE'!$B$3*(1+D192)^1*D192*'DCF_NKE'!$B$9)/(1+'DCF_NKE'!$B$10)^2+('DCF_NKE'!$B$3*(1+D192)^3*('DCF_NKE'!$B$5*(1-'DCF_NKE'!$B$6)+'DCF_NKE'!$B$7-'DCF_NKE'!$B$8)-'DCF_NKE'!$B$3*(1+D192)^2*D192*'DCF_NKE'!$B$9)/(1+'DCF_NKE'!$B$10)^3+('DCF_NKE'!$B$3*(1+D192)^4*('DCF_NKE'!$B$5*(1-'DCF_NKE'!$B$6)+'DCF_NKE'!$B$7-'DCF_NKE'!$B$8)-'DCF_NKE'!$B$3*(1+D192)^3*D192*'DCF_NKE'!$B$9)/(1+'DCF_NKE'!$B$10)^4+('DCF_NKE'!$B$3*(1+D192)^5*('DCF_NKE'!$B$5*(1-'DCF_NKE'!$B$6)+'DCF_NKE'!$B$7-'DCF_NKE'!$B$8)-'DCF_NKE'!$B$3*(1+D192)^4*D192*'DCF_NKE'!$B$9)/(1+'DCF_NKE'!$B$10)^5+('DCF_NKE'!$B$3*(1+D192)^5*(1+'DCF_NKE'!$B$11)*('DCF_NKE'!$B$5*(1-'DCF_NKE'!$B$6)+'DCF_NKE'!$B$7-'DCF_NKE'!$B$8)-'DCF_NKE'!$B$3*(1+D192)^5*'DCF_NKE'!$B$11*'DCF_NKE'!$B$9)/('DCF_NKE'!$B$10-'DCF_NKE'!$B$11)/(1+'DCF_NKE'!$B$10)^5-'DCF_NKE'!$B$13)/'DCF_NKE'!$B$12))</f>
        <v/>
      </c>
    </row>
    <row r="193" spans="1:5" x14ac:dyDescent="0.25">
      <c r="A193" s="4">
        <v>57</v>
      </c>
      <c r="B193" s="4" t="str">
        <f>IF($B$5="","",IF(E192&lt;$B$5,D192,B192))</f>
        <v/>
      </c>
      <c r="C193" s="4" t="str">
        <f>IF($B$5="","",IF(E192&lt;$B$5,C192,D192))</f>
        <v/>
      </c>
      <c r="D193" s="4" t="str">
        <f>IF($B$5="","",(B193+C193)/2)</f>
        <v/>
      </c>
      <c r="E193" s="4" t="str">
        <f>IF($B$5="","",((('DCF_NKE'!$B$3*(1+D193)^1*('DCF_NKE'!$B$5*(1-'DCF_NKE'!$B$6)+'DCF_NKE'!$B$7-'DCF_NKE'!$B$8)-'DCF_NKE'!$B$3*(1+D193)^0*D193*'DCF_NKE'!$B$9)/(1+'DCF_NKE'!$B$10)^1+('DCF_NKE'!$B$3*(1+D193)^2*('DCF_NKE'!$B$5*(1-'DCF_NKE'!$B$6)+'DCF_NKE'!$B$7-'DCF_NKE'!$B$8)-'DCF_NKE'!$B$3*(1+D193)^1*D193*'DCF_NKE'!$B$9)/(1+'DCF_NKE'!$B$10)^2+('DCF_NKE'!$B$3*(1+D193)^3*('DCF_NKE'!$B$5*(1-'DCF_NKE'!$B$6)+'DCF_NKE'!$B$7-'DCF_NKE'!$B$8)-'DCF_NKE'!$B$3*(1+D193)^2*D193*'DCF_NKE'!$B$9)/(1+'DCF_NKE'!$B$10)^3+('DCF_NKE'!$B$3*(1+D193)^4*('DCF_NKE'!$B$5*(1-'DCF_NKE'!$B$6)+'DCF_NKE'!$B$7-'DCF_NKE'!$B$8)-'DCF_NKE'!$B$3*(1+D193)^3*D193*'DCF_NKE'!$B$9)/(1+'DCF_NKE'!$B$10)^4+('DCF_NKE'!$B$3*(1+D193)^5*('DCF_NKE'!$B$5*(1-'DCF_NKE'!$B$6)+'DCF_NKE'!$B$7-'DCF_NKE'!$B$8)-'DCF_NKE'!$B$3*(1+D193)^4*D193*'DCF_NKE'!$B$9)/(1+'DCF_NKE'!$B$10)^5+('DCF_NKE'!$B$3*(1+D193)^5*(1+'DCF_NKE'!$B$11)*('DCF_NKE'!$B$5*(1-'DCF_NKE'!$B$6)+'DCF_NKE'!$B$7-'DCF_NKE'!$B$8)-'DCF_NKE'!$B$3*(1+D193)^5*'DCF_NKE'!$B$11*'DCF_NKE'!$B$9)/('DCF_NKE'!$B$10-'DCF_NKE'!$B$11)/(1+'DCF_NKE'!$B$10)^5-'DCF_NKE'!$B$13)/'DCF_NKE'!$B$12))</f>
        <v/>
      </c>
    </row>
    <row r="194" spans="1:5" x14ac:dyDescent="0.25">
      <c r="A194" s="4">
        <v>58</v>
      </c>
      <c r="B194" s="4" t="str">
        <f>IF($B$5="","",IF(E193&lt;$B$5,D193,B193))</f>
        <v/>
      </c>
      <c r="C194" s="4" t="str">
        <f>IF($B$5="","",IF(E193&lt;$B$5,C193,D193))</f>
        <v/>
      </c>
      <c r="D194" s="4" t="str">
        <f>IF($B$5="","",(B194+C194)/2)</f>
        <v/>
      </c>
      <c r="E194" s="4" t="str">
        <f>IF($B$5="","",((('DCF_NKE'!$B$3*(1+D194)^1*('DCF_NKE'!$B$5*(1-'DCF_NKE'!$B$6)+'DCF_NKE'!$B$7-'DCF_NKE'!$B$8)-'DCF_NKE'!$B$3*(1+D194)^0*D194*'DCF_NKE'!$B$9)/(1+'DCF_NKE'!$B$10)^1+('DCF_NKE'!$B$3*(1+D194)^2*('DCF_NKE'!$B$5*(1-'DCF_NKE'!$B$6)+'DCF_NKE'!$B$7-'DCF_NKE'!$B$8)-'DCF_NKE'!$B$3*(1+D194)^1*D194*'DCF_NKE'!$B$9)/(1+'DCF_NKE'!$B$10)^2+('DCF_NKE'!$B$3*(1+D194)^3*('DCF_NKE'!$B$5*(1-'DCF_NKE'!$B$6)+'DCF_NKE'!$B$7-'DCF_NKE'!$B$8)-'DCF_NKE'!$B$3*(1+D194)^2*D194*'DCF_NKE'!$B$9)/(1+'DCF_NKE'!$B$10)^3+('DCF_NKE'!$B$3*(1+D194)^4*('DCF_NKE'!$B$5*(1-'DCF_NKE'!$B$6)+'DCF_NKE'!$B$7-'DCF_NKE'!$B$8)-'DCF_NKE'!$B$3*(1+D194)^3*D194*'DCF_NKE'!$B$9)/(1+'DCF_NKE'!$B$10)^4+('DCF_NKE'!$B$3*(1+D194)^5*('DCF_NKE'!$B$5*(1-'DCF_NKE'!$B$6)+'DCF_NKE'!$B$7-'DCF_NKE'!$B$8)-'DCF_NKE'!$B$3*(1+D194)^4*D194*'DCF_NKE'!$B$9)/(1+'DCF_NKE'!$B$10)^5+('DCF_NKE'!$B$3*(1+D194)^5*(1+'DCF_NKE'!$B$11)*('DCF_NKE'!$B$5*(1-'DCF_NKE'!$B$6)+'DCF_NKE'!$B$7-'DCF_NKE'!$B$8)-'DCF_NKE'!$B$3*(1+D194)^5*'DCF_NKE'!$B$11*'DCF_NKE'!$B$9)/('DCF_NKE'!$B$10-'DCF_NKE'!$B$11)/(1+'DCF_NKE'!$B$10)^5-'DCF_NKE'!$B$13)/'DCF_NKE'!$B$12))</f>
        <v/>
      </c>
    </row>
    <row r="195" spans="1:5" x14ac:dyDescent="0.25">
      <c r="A195" s="4">
        <v>59</v>
      </c>
      <c r="B195" s="4" t="str">
        <f>IF($B$5="","",IF(E194&lt;$B$5,D194,B194))</f>
        <v/>
      </c>
      <c r="C195" s="4" t="str">
        <f>IF($B$5="","",IF(E194&lt;$B$5,C194,D194))</f>
        <v/>
      </c>
      <c r="D195" s="4" t="str">
        <f>IF($B$5="","",(B195+C195)/2)</f>
        <v/>
      </c>
      <c r="E195" s="4" t="str">
        <f>IF($B$5="","",((('DCF_NKE'!$B$3*(1+D195)^1*('DCF_NKE'!$B$5*(1-'DCF_NKE'!$B$6)+'DCF_NKE'!$B$7-'DCF_NKE'!$B$8)-'DCF_NKE'!$B$3*(1+D195)^0*D195*'DCF_NKE'!$B$9)/(1+'DCF_NKE'!$B$10)^1+('DCF_NKE'!$B$3*(1+D195)^2*('DCF_NKE'!$B$5*(1-'DCF_NKE'!$B$6)+'DCF_NKE'!$B$7-'DCF_NKE'!$B$8)-'DCF_NKE'!$B$3*(1+D195)^1*D195*'DCF_NKE'!$B$9)/(1+'DCF_NKE'!$B$10)^2+('DCF_NKE'!$B$3*(1+D195)^3*('DCF_NKE'!$B$5*(1-'DCF_NKE'!$B$6)+'DCF_NKE'!$B$7-'DCF_NKE'!$B$8)-'DCF_NKE'!$B$3*(1+D195)^2*D195*'DCF_NKE'!$B$9)/(1+'DCF_NKE'!$B$10)^3+('DCF_NKE'!$B$3*(1+D195)^4*('DCF_NKE'!$B$5*(1-'DCF_NKE'!$B$6)+'DCF_NKE'!$B$7-'DCF_NKE'!$B$8)-'DCF_NKE'!$B$3*(1+D195)^3*D195*'DCF_NKE'!$B$9)/(1+'DCF_NKE'!$B$10)^4+('DCF_NKE'!$B$3*(1+D195)^5*('DCF_NKE'!$B$5*(1-'DCF_NKE'!$B$6)+'DCF_NKE'!$B$7-'DCF_NKE'!$B$8)-'DCF_NKE'!$B$3*(1+D195)^4*D195*'DCF_NKE'!$B$9)/(1+'DCF_NKE'!$B$10)^5+('DCF_NKE'!$B$3*(1+D195)^5*(1+'DCF_NKE'!$B$11)*('DCF_NKE'!$B$5*(1-'DCF_NKE'!$B$6)+'DCF_NKE'!$B$7-'DCF_NKE'!$B$8)-'DCF_NKE'!$B$3*(1+D195)^5*'DCF_NKE'!$B$11*'DCF_NKE'!$B$9)/('DCF_NKE'!$B$10-'DCF_NKE'!$B$11)/(1+'DCF_NKE'!$B$10)^5-'DCF_NKE'!$B$13)/'DCF_NKE'!$B$12))</f>
        <v/>
      </c>
    </row>
    <row r="196" spans="1:5" x14ac:dyDescent="0.25">
      <c r="A196" s="4">
        <v>60</v>
      </c>
      <c r="B196" s="4" t="str">
        <f>IF($B$5="","",IF(E195&lt;$B$5,D195,B195))</f>
        <v/>
      </c>
      <c r="C196" s="4" t="str">
        <f>IF($B$5="","",IF(E195&lt;$B$5,C195,D195))</f>
        <v/>
      </c>
      <c r="D196" s="4" t="str">
        <f>IF($B$5="","",(B196+C196)/2)</f>
        <v/>
      </c>
      <c r="E196" s="4" t="str">
        <f>IF($B$5="","",((('DCF_NKE'!$B$3*(1+D196)^1*('DCF_NKE'!$B$5*(1-'DCF_NKE'!$B$6)+'DCF_NKE'!$B$7-'DCF_NKE'!$B$8)-'DCF_NKE'!$B$3*(1+D196)^0*D196*'DCF_NKE'!$B$9)/(1+'DCF_NKE'!$B$10)^1+('DCF_NKE'!$B$3*(1+D196)^2*('DCF_NKE'!$B$5*(1-'DCF_NKE'!$B$6)+'DCF_NKE'!$B$7-'DCF_NKE'!$B$8)-'DCF_NKE'!$B$3*(1+D196)^1*D196*'DCF_NKE'!$B$9)/(1+'DCF_NKE'!$B$10)^2+('DCF_NKE'!$B$3*(1+D196)^3*('DCF_NKE'!$B$5*(1-'DCF_NKE'!$B$6)+'DCF_NKE'!$B$7-'DCF_NKE'!$B$8)-'DCF_NKE'!$B$3*(1+D196)^2*D196*'DCF_NKE'!$B$9)/(1+'DCF_NKE'!$B$10)^3+('DCF_NKE'!$B$3*(1+D196)^4*('DCF_NKE'!$B$5*(1-'DCF_NKE'!$B$6)+'DCF_NKE'!$B$7-'DCF_NKE'!$B$8)-'DCF_NKE'!$B$3*(1+D196)^3*D196*'DCF_NKE'!$B$9)/(1+'DCF_NKE'!$B$10)^4+('DCF_NKE'!$B$3*(1+D196)^5*('DCF_NKE'!$B$5*(1-'DCF_NKE'!$B$6)+'DCF_NKE'!$B$7-'DCF_NKE'!$B$8)-'DCF_NKE'!$B$3*(1+D196)^4*D196*'DCF_NKE'!$B$9)/(1+'DCF_NKE'!$B$10)^5+('DCF_NKE'!$B$3*(1+D196)^5*(1+'DCF_NKE'!$B$11)*('DCF_NKE'!$B$5*(1-'DCF_NKE'!$B$6)+'DCF_NKE'!$B$7-'DCF_NKE'!$B$8)-'DCF_NKE'!$B$3*(1+D196)^5*'DCF_NKE'!$B$11*'DCF_NKE'!$B$9)/('DCF_NKE'!$B$10-'DCF_NKE'!$B$11)/(1+'DCF_NKE'!$B$10)^5-'DCF_NKE'!$B$13)/'DCF_NKE'!$B$12))</f>
        <v/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12" width="21" customWidth="1"/>
  </cols>
  <sheetData>
    <row r="1" ht="25" customHeight="1" spans="1:1" s="1" customFormat="1" x14ac:dyDescent="0.25">
      <c r="A1" s="1" t="s">
        <v>0</v>
      </c>
    </row>
    <row r="2" spans="1:8" s="2" customFormat="1" x14ac:dyDescent="0.25">
      <c r="A2" s="3" t="s">
        <v>27</v>
      </c>
      <c r="B2" s="3" t="s">
        <v>1239</v>
      </c>
      <c r="C2" s="3" t="s">
        <v>1240</v>
      </c>
      <c r="D2" s="3" t="s">
        <v>1241</v>
      </c>
      <c r="E2" s="3" t="s">
        <v>1242</v>
      </c>
      <c r="F2" s="3" t="s">
        <v>1243</v>
      </c>
      <c r="G2" s="3" t="s">
        <v>1244</v>
      </c>
      <c r="H2" s="3" t="s">
        <v>1245</v>
      </c>
    </row>
    <row r="3" spans="1:8" x14ac:dyDescent="0.25">
      <c r="A3" s="4" t="s">
        <v>54</v>
      </c>
      <c r="H3" s="4" t="s">
        <v>1246</v>
      </c>
    </row>
    <row r="4" spans="1:8" x14ac:dyDescent="0.25">
      <c r="A4" s="4" t="s">
        <v>890</v>
      </c>
      <c r="H4" s="4" t="s">
        <v>1246</v>
      </c>
    </row>
    <row r="5" spans="1:8" x14ac:dyDescent="0.25">
      <c r="A5" s="4" t="s">
        <v>833</v>
      </c>
      <c r="H5" s="4" t="s">
        <v>1246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12" width="21" customWidth="1"/>
  </cols>
  <sheetData>
    <row r="1" ht="25" customHeight="1" spans="1:1" s="1" customFormat="1" x14ac:dyDescent="0.25">
      <c r="A1" s="1" t="s">
        <v>0</v>
      </c>
    </row>
    <row r="2" spans="1:5" s="2" customFormat="1" x14ac:dyDescent="0.25">
      <c r="A2" s="3" t="s">
        <v>27</v>
      </c>
      <c r="B2" s="3" t="s">
        <v>1247</v>
      </c>
      <c r="C2" s="3" t="s">
        <v>1248</v>
      </c>
      <c r="D2" s="3" t="s">
        <v>1249</v>
      </c>
      <c r="E2" s="3" t="s">
        <v>1250</v>
      </c>
    </row>
    <row r="3" spans="1:5" x14ac:dyDescent="0.25">
      <c r="A3" s="4" t="s">
        <v>54</v>
      </c>
      <c r="B3" s="4" t="s">
        <v>1251</v>
      </c>
      <c r="C3" s="4" t="s">
        <v>1252</v>
      </c>
      <c r="D3" s="4" t="s">
        <v>1253</v>
      </c>
      <c r="E3" s="4" t="s">
        <v>1254</v>
      </c>
    </row>
    <row r="4" spans="1:5" x14ac:dyDescent="0.25">
      <c r="A4" s="4" t="s">
        <v>54</v>
      </c>
      <c r="B4" s="4" t="s">
        <v>1255</v>
      </c>
      <c r="C4" s="4" t="s">
        <v>1256</v>
      </c>
      <c r="D4" s="4" t="s">
        <v>1257</v>
      </c>
      <c r="E4" s="4" t="s">
        <v>1258</v>
      </c>
    </row>
    <row r="5" spans="1:5" x14ac:dyDescent="0.25">
      <c r="A5" s="4" t="s">
        <v>890</v>
      </c>
      <c r="B5" s="4" t="s">
        <v>1259</v>
      </c>
      <c r="C5" s="4" t="s">
        <v>1260</v>
      </c>
      <c r="D5" s="4" t="s">
        <v>1261</v>
      </c>
      <c r="E5" s="4" t="s">
        <v>1262</v>
      </c>
    </row>
    <row r="6" spans="1:5" x14ac:dyDescent="0.25">
      <c r="A6" s="4" t="s">
        <v>890</v>
      </c>
      <c r="B6" s="4" t="s">
        <v>1263</v>
      </c>
      <c r="C6" s="4" t="s">
        <v>1252</v>
      </c>
      <c r="D6" s="4" t="s">
        <v>1264</v>
      </c>
      <c r="E6" s="4" t="s">
        <v>1265</v>
      </c>
    </row>
    <row r="7" spans="1:5" x14ac:dyDescent="0.25">
      <c r="A7" s="4" t="s">
        <v>833</v>
      </c>
      <c r="B7" s="4" t="s">
        <v>1266</v>
      </c>
      <c r="C7" s="4" t="s">
        <v>1260</v>
      </c>
      <c r="D7" s="4" t="s">
        <v>1253</v>
      </c>
      <c r="E7" s="4" t="s">
        <v>1267</v>
      </c>
    </row>
    <row r="8" spans="1:5" x14ac:dyDescent="0.25">
      <c r="A8" s="4" t="s">
        <v>833</v>
      </c>
      <c r="B8" s="4" t="s">
        <v>1268</v>
      </c>
      <c r="C8" s="4" t="s">
        <v>1252</v>
      </c>
      <c r="D8" s="4" t="s">
        <v>1261</v>
      </c>
      <c r="E8" s="4" t="s">
        <v>1269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12" width="21" customWidth="1"/>
  </cols>
  <sheetData>
    <row r="1" ht="25" customHeight="1" spans="1:1" s="1" customFormat="1" x14ac:dyDescent="0.25">
      <c r="A1" s="1" t="s">
        <v>0</v>
      </c>
    </row>
    <row r="2" spans="1:8" s="2" customFormat="1" x14ac:dyDescent="0.25">
      <c r="A2" s="3" t="s">
        <v>27</v>
      </c>
      <c r="B2" s="3" t="s">
        <v>35</v>
      </c>
      <c r="C2" s="3" t="s">
        <v>1270</v>
      </c>
      <c r="D2" s="3" t="s">
        <v>1271</v>
      </c>
      <c r="E2" s="3" t="s">
        <v>1272</v>
      </c>
      <c r="F2" s="3" t="s">
        <v>1273</v>
      </c>
      <c r="G2" s="3" t="s">
        <v>1274</v>
      </c>
      <c r="H2" s="3" t="s">
        <v>1275</v>
      </c>
    </row>
    <row r="3" spans="1:8" x14ac:dyDescent="0.25">
      <c r="A3" s="4" t="s">
        <v>54</v>
      </c>
      <c r="B3" s="4" t="s">
        <v>1276</v>
      </c>
      <c r="D3" s="4">
        <f>'DCF_ADBE'!B33</f>
        <v>266.2720559344821</v>
      </c>
      <c r="E3" s="5" t="str">
        <f>IF(OR(C3="",C3&lt;=0),"N/A",D3/C3-1)</f>
        <v>N/A</v>
      </c>
      <c r="F3" s="5">
        <v>0.4</v>
      </c>
      <c r="G3" s="4">
        <f>F3*100000</f>
        <v>40000</v>
      </c>
      <c r="H3" s="4">
        <f>'DCF_ADBE'!B32</f>
        <v>257.2023533830612</v>
      </c>
    </row>
    <row r="4" spans="1:8" x14ac:dyDescent="0.25">
      <c r="A4" s="4" t="s">
        <v>890</v>
      </c>
      <c r="B4" s="4" t="s">
        <v>1276</v>
      </c>
      <c r="D4" s="4">
        <f>'DCF_PYPL'!B33</f>
        <v>67.69534078050994</v>
      </c>
      <c r="E4" s="5" t="str">
        <f>IF(OR(C4="",C4&lt;=0),"N/A",D4/C4-1)</f>
        <v>N/A</v>
      </c>
      <c r="F4" s="5">
        <v>0.35</v>
      </c>
      <c r="G4" s="4">
        <f>F4*100000</f>
        <v>35000</v>
      </c>
      <c r="H4" s="4">
        <f>'DCF_PYPL'!B32</f>
        <v>66.02825475069521</v>
      </c>
    </row>
    <row r="5" spans="1:8" x14ac:dyDescent="0.25">
      <c r="A5" s="4" t="s">
        <v>833</v>
      </c>
      <c r="B5" s="4" t="s">
        <v>1276</v>
      </c>
      <c r="D5" s="4">
        <f>'DCF_NKE'!B33</f>
        <v>30.21664817408745</v>
      </c>
      <c r="E5" s="5" t="str">
        <f>IF(OR(C5="",C5&lt;=0),"N/A",D5/C5-1)</f>
        <v>N/A</v>
      </c>
      <c r="F5" s="5">
        <v>0.25</v>
      </c>
      <c r="G5" s="4">
        <f>F5*100000</f>
        <v>25000</v>
      </c>
      <c r="H5" s="4">
        <f>'DCF_NKE'!B32</f>
        <v>29.500029492249407</v>
      </c>
    </row>
    <row r="6" spans="1:7" x14ac:dyDescent="0.25">
      <c r="A6" s="4" t="s">
        <v>1277</v>
      </c>
      <c r="F6" s="4">
        <f>SUM(F3:F5)</f>
        <v>1</v>
      </c>
      <c r="G6" s="4">
        <f>SUM(G3:G5)</f>
        <v>100000</v>
      </c>
    </row>
    <row r="8" spans="1:2" x14ac:dyDescent="0.25">
      <c r="A8" s="4" t="s">
        <v>1278</v>
      </c>
      <c r="B8" s="4" t="str">
        <f>IF(COUNT(E3:E5)=3,SUMPRODUCT(E3:E5,F3:F5),"N/A")</f>
        <v>N/A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12" width="21" customWidth="1"/>
  </cols>
  <sheetData>
    <row r="1" ht="25" customHeight="1" spans="1:1" s="1" customFormat="1" x14ac:dyDescent="0.25">
      <c r="A1" s="1" t="s">
        <v>0</v>
      </c>
    </row>
    <row r="2" spans="1:3" s="2" customFormat="1" x14ac:dyDescent="0.25">
      <c r="A2" s="3" t="s">
        <v>1279</v>
      </c>
      <c r="B2" s="3" t="s">
        <v>1280</v>
      </c>
      <c r="C2" s="3" t="s">
        <v>1281</v>
      </c>
    </row>
    <row r="3" spans="1:3" x14ac:dyDescent="0.25">
      <c r="A3" s="4" t="s">
        <v>1282</v>
      </c>
      <c r="B3" s="4" t="str">
        <f>IF(ABS(PORTFOLIO!F6-1)&lt;0.0000001,"PASS","FAIL")</f>
        <v>PASS</v>
      </c>
      <c r="C3" s="4" t="s">
        <v>1283</v>
      </c>
    </row>
    <row r="4" spans="1:3" x14ac:dyDescent="0.25">
      <c r="A4" s="4" t="s">
        <v>1284</v>
      </c>
      <c r="B4" s="4" t="str">
        <f>IF(ABS(PORTFOLIO!G6-100000)&lt;0.005,"PASS","FAIL")</f>
        <v>PASS</v>
      </c>
      <c r="C4" s="4" t="s">
        <v>1285</v>
      </c>
    </row>
    <row r="5" spans="1:3" x14ac:dyDescent="0.25">
      <c r="A5" s="4" t="s">
        <v>1286</v>
      </c>
      <c r="B5" s="4" t="s">
        <v>1287</v>
      </c>
      <c r="C5" s="4" t="s">
        <v>1288</v>
      </c>
    </row>
    <row r="6" spans="1:3" x14ac:dyDescent="0.25">
      <c r="A6" s="4" t="s">
        <v>1289</v>
      </c>
      <c r="B6" s="4" t="s">
        <v>1287</v>
      </c>
      <c r="C6" s="4" t="s">
        <v>1290</v>
      </c>
    </row>
    <row r="7" spans="1:3" x14ac:dyDescent="0.25">
      <c r="A7" s="4" t="s">
        <v>1291</v>
      </c>
      <c r="B7" s="4" t="s">
        <v>1287</v>
      </c>
      <c r="C7" s="4" t="s">
        <v>1292</v>
      </c>
    </row>
    <row r="8" spans="1:3" x14ac:dyDescent="0.25">
      <c r="A8" s="4" t="s">
        <v>1293</v>
      </c>
      <c r="B8" s="4" t="s">
        <v>1287</v>
      </c>
      <c r="C8" s="4" t="s">
        <v>1294</v>
      </c>
    </row>
    <row r="9" spans="1:3" x14ac:dyDescent="0.25">
      <c r="A9" s="4" t="s">
        <v>1295</v>
      </c>
      <c r="B9" s="4" t="s">
        <v>1287</v>
      </c>
      <c r="C9" s="4" t="s">
        <v>1296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110" customWidth="1"/>
    <col min="3" max="12" width="21" customWidth="1"/>
  </cols>
  <sheetData>
    <row r="1" ht="25" customHeight="1" spans="1:1" s="1" customFormat="1" x14ac:dyDescent="0.25">
      <c r="A1" s="1" t="s">
        <v>0</v>
      </c>
    </row>
    <row r="2" spans="1:2" s="2" customFormat="1" x14ac:dyDescent="0.25">
      <c r="A2" s="3" t="s">
        <v>1297</v>
      </c>
      <c r="B2" s="3" t="s">
        <v>4</v>
      </c>
    </row>
    <row r="3" spans="1:2" x14ac:dyDescent="0.25">
      <c r="A3" s="4" t="s">
        <v>1298</v>
      </c>
      <c r="B3" s="4" t="s">
        <v>1299</v>
      </c>
    </row>
    <row r="4" spans="1:2" x14ac:dyDescent="0.25">
      <c r="A4" s="4" t="s">
        <v>1300</v>
      </c>
      <c r="B4" s="4" t="s">
        <v>6</v>
      </c>
    </row>
    <row r="5" spans="1:2" x14ac:dyDescent="0.25">
      <c r="A5" s="4" t="s">
        <v>1301</v>
      </c>
      <c r="B5" s="4" t="s">
        <v>1302</v>
      </c>
    </row>
    <row r="6" spans="1:2" x14ac:dyDescent="0.25">
      <c r="A6" s="4" t="s">
        <v>1303</v>
      </c>
      <c r="B6" s="4" t="s">
        <v>1304</v>
      </c>
    </row>
    <row r="7" spans="1:2" x14ac:dyDescent="0.25">
      <c r="A7" s="4" t="s">
        <v>1305</v>
      </c>
      <c r="B7" s="4" t="s">
        <v>1306</v>
      </c>
    </row>
    <row r="8" spans="1:2" x14ac:dyDescent="0.25">
      <c r="A8" s="4" t="s">
        <v>1307</v>
      </c>
      <c r="B8" s="4" t="s">
        <v>1229</v>
      </c>
    </row>
    <row r="9" spans="1:2" x14ac:dyDescent="0.25">
      <c r="A9" s="4" t="s">
        <v>1308</v>
      </c>
      <c r="B9" s="4" t="s">
        <v>1309</v>
      </c>
    </row>
    <row r="10" spans="1:2" x14ac:dyDescent="0.25">
      <c r="A10" s="4" t="s">
        <v>1308</v>
      </c>
      <c r="B10" s="4" t="s">
        <v>1310</v>
      </c>
    </row>
    <row r="11" spans="1:2" x14ac:dyDescent="0.25">
      <c r="A11" s="4" t="s">
        <v>1308</v>
      </c>
      <c r="B11" s="4" t="s">
        <v>1311</v>
      </c>
    </row>
    <row r="12" spans="1:2" x14ac:dyDescent="0.25">
      <c r="A12" s="4" t="s">
        <v>1308</v>
      </c>
      <c r="B12" s="4" t="s">
        <v>1312</v>
      </c>
    </row>
    <row r="13" spans="1:2" x14ac:dyDescent="0.25">
      <c r="A13" s="4" t="s">
        <v>1308</v>
      </c>
      <c r="B13" s="4" t="s">
        <v>1313</v>
      </c>
    </row>
    <row r="14" spans="1:2" x14ac:dyDescent="0.25">
      <c r="A14" s="4" t="s">
        <v>1308</v>
      </c>
      <c r="B14" s="4" t="s">
        <v>1314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README</vt:lpstr>
      <vt:lpstr>UNIVERSE_SCREENING</vt:lpstr>
      <vt:lpstr>SOURCES</vt:lpstr>
      <vt:lpstr>COMPANY_FACTS</vt:lpstr>
      <vt:lpstr>DCF_ADBE</vt:lpstr>
      <vt:lpstr>DCF_PYPL</vt:lpstr>
      <vt:lpstr>DCF_NKE</vt:lpstr>
      <vt:lpstr>SENSITIVITY</vt:lpstr>
      <vt:lpstr>REVERSE</vt:lpstr>
      <vt:lpstr>TECHNICALS</vt:lpstr>
      <vt:lpstr>RISKS</vt:lpstr>
      <vt:lpstr>PORTFOLIO</vt:lpstr>
      <vt:lpstr>CHECKS</vt:lpstr>
      <vt:lpstr>SNAPSHOT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MIRROR X</dc:creator>
  <dc:title>Freedom 2026 — PRELIMINARY</dc:title>
  <dc:subject/>
  <dc:description/>
  <cp:keywords/>
  <cp:category/>
  <cp:lastModifiedBy>Unknown</cp:lastModifiedBy>
  <dcterms:created xsi:type="dcterms:W3CDTF">2026-10-29T07:16:39Z</dcterms:created>
  <dcterms:modified xsi:type="dcterms:W3CDTF">2026-10-29T08:21:50Z</dcterms:modified>
</cp:coreProperties>
</file>